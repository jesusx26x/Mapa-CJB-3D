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vbcrd.sharepoint.com/sites/VBCRD/Shared Documents/IDMP/VBC2/Informes Fideicomiso VBC/Presentacion Paliza diciembre 2025/Mapa/"/>
    </mc:Choice>
  </mc:AlternateContent>
  <xr:revisionPtr revIDLastSave="116" documentId="13_ncr:1_{382A4B54-A362-48DB-9840-54541D4A640A}" xr6:coauthVersionLast="47" xr6:coauthVersionMax="47" xr10:uidLastSave="{BA8C8263-8AD6-4D7F-B5EA-0847D3C8E187}"/>
  <bookViews>
    <workbookView xWindow="51480" yWindow="-120" windowWidth="29040" windowHeight="15840" xr2:uid="{3261521A-1BD8-4073-89CA-229988BEA3C0}"/>
  </bookViews>
  <sheets>
    <sheet name="lotes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</calcChain>
</file>

<file path=xl/sharedStrings.xml><?xml version="1.0" encoding="utf-8"?>
<sst xmlns="http://schemas.openxmlformats.org/spreadsheetml/2006/main" count="1620" uniqueCount="453">
  <si>
    <t>id</t>
  </si>
  <si>
    <t>tipo</t>
  </si>
  <si>
    <t>subtipo</t>
  </si>
  <si>
    <t>etapa</t>
  </si>
  <si>
    <t>desarrollador</t>
  </si>
  <si>
    <t>nombre</t>
  </si>
  <si>
    <t>area_m2</t>
  </si>
  <si>
    <t>unidades_hab</t>
  </si>
  <si>
    <t>estado</t>
  </si>
  <si>
    <t>aÃ±o_asignacion</t>
  </si>
  <si>
    <t>aÃ±o_entrega</t>
  </si>
  <si>
    <t>propietario</t>
  </si>
  <si>
    <t>observaciones</t>
  </si>
  <si>
    <t>Pilar</t>
  </si>
  <si>
    <t>Referencia</t>
  </si>
  <si>
    <t>Cuadrante</t>
  </si>
  <si>
    <t>01-01-01</t>
  </si>
  <si>
    <t>Institucional</t>
  </si>
  <si>
    <t>Planta de tratamiento</t>
  </si>
  <si>
    <t>Terminado</t>
  </si>
  <si>
    <t>Servicios Básicos</t>
  </si>
  <si>
    <t>PLANTA DE TRATAMIENTO</t>
  </si>
  <si>
    <t>01-01-02</t>
  </si>
  <si>
    <t>terminal de autobus</t>
  </si>
  <si>
    <t>Infraestructura y Movilidad</t>
  </si>
  <si>
    <t>TERMINAL DE AUTOBUS</t>
  </si>
  <si>
    <t>01-01-03</t>
  </si>
  <si>
    <t>Habitacional</t>
  </si>
  <si>
    <t>Vivienda</t>
  </si>
  <si>
    <t>01-01-04</t>
  </si>
  <si>
    <t>N/A</t>
  </si>
  <si>
    <t>01-01-05</t>
  </si>
  <si>
    <t>01-01-06</t>
  </si>
  <si>
    <t>Comercial</t>
  </si>
  <si>
    <t>Economía</t>
  </si>
  <si>
    <t>COMERCIAL</t>
  </si>
  <si>
    <t>01-01-07</t>
  </si>
  <si>
    <t>01-01-08</t>
  </si>
  <si>
    <t>estacion de combustible</t>
  </si>
  <si>
    <t>01-01-09</t>
  </si>
  <si>
    <t>01-01-10</t>
  </si>
  <si>
    <t>01-02-01</t>
  </si>
  <si>
    <t>area verde</t>
  </si>
  <si>
    <t>Medio Ambiente</t>
  </si>
  <si>
    <t>VERDE</t>
  </si>
  <si>
    <t>01-02-02</t>
  </si>
  <si>
    <t>Seguridad</t>
  </si>
  <si>
    <t>POLICIA</t>
  </si>
  <si>
    <t>01-02-03</t>
  </si>
  <si>
    <t>BOMBEROS</t>
  </si>
  <si>
    <t>01-02-04</t>
  </si>
  <si>
    <t>01-02-05</t>
  </si>
  <si>
    <t>Pendiente</t>
  </si>
  <si>
    <t>01-02-06</t>
  </si>
  <si>
    <t>01-02-07</t>
  </si>
  <si>
    <t>Tanque de agua</t>
  </si>
  <si>
    <t>01-02-08</t>
  </si>
  <si>
    <t>01-02-09</t>
  </si>
  <si>
    <t>educacional</t>
  </si>
  <si>
    <t>Educación</t>
  </si>
  <si>
    <t>01-03-01</t>
  </si>
  <si>
    <t>01-03-02</t>
  </si>
  <si>
    <t>estancia infantil</t>
  </si>
  <si>
    <t>ESTANCIA INFANTIL</t>
  </si>
  <si>
    <t>01-03-03</t>
  </si>
  <si>
    <t>01-03-04</t>
  </si>
  <si>
    <t>02-04-01</t>
  </si>
  <si>
    <t>02-04-02</t>
  </si>
  <si>
    <t>02-04-03</t>
  </si>
  <si>
    <t>02-05-01</t>
  </si>
  <si>
    <t>EDUCACIONAL</t>
  </si>
  <si>
    <t>02-05-02</t>
  </si>
  <si>
    <t>02-05-03</t>
  </si>
  <si>
    <t>02-05-04</t>
  </si>
  <si>
    <t>CENTRO RELIGIOSO</t>
  </si>
  <si>
    <t>02-06-01</t>
  </si>
  <si>
    <t>Deportes y Recreación</t>
  </si>
  <si>
    <t>COMPLEJO DEPORTIVO</t>
  </si>
  <si>
    <t>02-06-02</t>
  </si>
  <si>
    <t>PARQUE INFANTIL DE EDUCACION VIAL</t>
  </si>
  <si>
    <t>02-06-03</t>
  </si>
  <si>
    <t>DIGESETT</t>
  </si>
  <si>
    <t>02-06-04</t>
  </si>
  <si>
    <t>DNCD</t>
  </si>
  <si>
    <t>02-06-05</t>
  </si>
  <si>
    <t>adm. complejo deportivo</t>
  </si>
  <si>
    <t>02-06-06</t>
  </si>
  <si>
    <t>02-06-07</t>
  </si>
  <si>
    <t>02-06-08</t>
  </si>
  <si>
    <t>02-06-09</t>
  </si>
  <si>
    <t>02-07-01</t>
  </si>
  <si>
    <t>02-07-02</t>
  </si>
  <si>
    <t>02-07-03</t>
  </si>
  <si>
    <t>03-08-01</t>
  </si>
  <si>
    <t>03-08-02</t>
  </si>
  <si>
    <t>03-08-03</t>
  </si>
  <si>
    <t>03-08-04</t>
  </si>
  <si>
    <t>ATENCIÓN PRIMARIA</t>
  </si>
  <si>
    <t>03-08-05</t>
  </si>
  <si>
    <t>03-09-01</t>
  </si>
  <si>
    <t>03-09-02</t>
  </si>
  <si>
    <t>03-09-03</t>
  </si>
  <si>
    <t>03-09-04</t>
  </si>
  <si>
    <t>03-09-05</t>
  </si>
  <si>
    <t>03-09-06</t>
  </si>
  <si>
    <t>03-09-07</t>
  </si>
  <si>
    <t>EDUCACIONAL BID</t>
  </si>
  <si>
    <t>03-09-08</t>
  </si>
  <si>
    <t>03-09-09</t>
  </si>
  <si>
    <t>TELECOMUNICACIONES</t>
  </si>
  <si>
    <t>04-11-01</t>
  </si>
  <si>
    <t>04-11-02</t>
  </si>
  <si>
    <t>04-11-03</t>
  </si>
  <si>
    <t>04-11-04</t>
  </si>
  <si>
    <t>04-11-05</t>
  </si>
  <si>
    <t>04-11-06</t>
  </si>
  <si>
    <t>04-11-07</t>
  </si>
  <si>
    <t>telecomunicaciones</t>
  </si>
  <si>
    <t>04-12-01</t>
  </si>
  <si>
    <t>04-12-02</t>
  </si>
  <si>
    <t xml:space="preserve">Area verde </t>
  </si>
  <si>
    <t>04-12-04</t>
  </si>
  <si>
    <t>04-12-05</t>
  </si>
  <si>
    <t>04-13-01</t>
  </si>
  <si>
    <t>04-13-03</t>
  </si>
  <si>
    <t>04-13-04</t>
  </si>
  <si>
    <t>04-16-01</t>
  </si>
  <si>
    <t>EDUCACION</t>
  </si>
  <si>
    <t>04-39-01</t>
  </si>
  <si>
    <t>04-39-02</t>
  </si>
  <si>
    <t>INSTITUCIONAL BARRIAL</t>
  </si>
  <si>
    <t>04-40-01</t>
  </si>
  <si>
    <t>04-40-02</t>
  </si>
  <si>
    <t>05-17-01</t>
  </si>
  <si>
    <t>liceo educacional</t>
  </si>
  <si>
    <t>05-17-02</t>
  </si>
  <si>
    <t>05-17-03</t>
  </si>
  <si>
    <t>05-17-04</t>
  </si>
  <si>
    <t>05-17-05</t>
  </si>
  <si>
    <t>05-18-01</t>
  </si>
  <si>
    <t>05-18-02</t>
  </si>
  <si>
    <t>05-18-03</t>
  </si>
  <si>
    <t>Cultural</t>
  </si>
  <si>
    <t>05-18-04</t>
  </si>
  <si>
    <t>centro integral para adultos mayores</t>
  </si>
  <si>
    <t>Salud</t>
  </si>
  <si>
    <t>05-18-05</t>
  </si>
  <si>
    <t>05-18-06</t>
  </si>
  <si>
    <t>05-18-07</t>
  </si>
  <si>
    <t>05-18-08</t>
  </si>
  <si>
    <t>05-19-01</t>
  </si>
  <si>
    <t>05-19-02</t>
  </si>
  <si>
    <t>05-19-03</t>
  </si>
  <si>
    <t>05-19-04</t>
  </si>
  <si>
    <t>05-19-05</t>
  </si>
  <si>
    <t>CENTRO DE ATENCION A LA MUJER</t>
  </si>
  <si>
    <t>05-19-06</t>
  </si>
  <si>
    <t>05-19-07</t>
  </si>
  <si>
    <t>05-20-01</t>
  </si>
  <si>
    <t>05-20-02</t>
  </si>
  <si>
    <t>05-20-03</t>
  </si>
  <si>
    <t>CENTRO DE ATENCION PARA PERSONAS DIS</t>
  </si>
  <si>
    <t>05-20-04</t>
  </si>
  <si>
    <t xml:space="preserve">HOSPITAL </t>
  </si>
  <si>
    <t>05-20-07</t>
  </si>
  <si>
    <t>05-20-08</t>
  </si>
  <si>
    <t>ESCUELA BID</t>
  </si>
  <si>
    <t>06-25-01</t>
  </si>
  <si>
    <t>06-25-02</t>
  </si>
  <si>
    <t>06-25-03</t>
  </si>
  <si>
    <t>06-25-04</t>
  </si>
  <si>
    <t>06-26-01</t>
  </si>
  <si>
    <t>06-26-02</t>
  </si>
  <si>
    <t>06-26-03</t>
  </si>
  <si>
    <t>06-26-04</t>
  </si>
  <si>
    <t>07-30-01</t>
  </si>
  <si>
    <t>07-30-02</t>
  </si>
  <si>
    <t>07-30-03</t>
  </si>
  <si>
    <t>07-30-04</t>
  </si>
  <si>
    <t>07-30-05</t>
  </si>
  <si>
    <t>07-31-01</t>
  </si>
  <si>
    <t>07-31-02</t>
  </si>
  <si>
    <t>07-31-03</t>
  </si>
  <si>
    <t>centro de atencion primaria</t>
  </si>
  <si>
    <t>07-31-04</t>
  </si>
  <si>
    <t>07-31-05</t>
  </si>
  <si>
    <t>07-31-06</t>
  </si>
  <si>
    <t>07-35-01</t>
  </si>
  <si>
    <t>07-35-02</t>
  </si>
  <si>
    <t>07-35-03</t>
  </si>
  <si>
    <t>07-35-04</t>
  </si>
  <si>
    <t>TANQUE DE AGUA</t>
  </si>
  <si>
    <t>07-35-05</t>
  </si>
  <si>
    <t>07-35-06</t>
  </si>
  <si>
    <t>07-35-07</t>
  </si>
  <si>
    <t>08-22-01</t>
  </si>
  <si>
    <t>08-22-02</t>
  </si>
  <si>
    <t>08-22-03</t>
  </si>
  <si>
    <t>AREA VERDE</t>
  </si>
  <si>
    <t>08-22-04</t>
  </si>
  <si>
    <t>LICEO OISOE</t>
  </si>
  <si>
    <t>08-22-05</t>
  </si>
  <si>
    <t>08-23-01</t>
  </si>
  <si>
    <t>08-23-02</t>
  </si>
  <si>
    <t>08-23-03</t>
  </si>
  <si>
    <t>INST. BARRIAL</t>
  </si>
  <si>
    <t>08-23-04</t>
  </si>
  <si>
    <t>09-27-01</t>
  </si>
  <si>
    <t>09-27-02</t>
  </si>
  <si>
    <t>09-27-03</t>
  </si>
  <si>
    <t>EDUCACIONAL MINERD</t>
  </si>
  <si>
    <t>09-28-01</t>
  </si>
  <si>
    <t>09-28-02</t>
  </si>
  <si>
    <t>09-28-03</t>
  </si>
  <si>
    <t>09-28-04</t>
  </si>
  <si>
    <t>09-28-05</t>
  </si>
  <si>
    <t>09-32-01</t>
  </si>
  <si>
    <t>09-32-02</t>
  </si>
  <si>
    <t>09-32-03</t>
  </si>
  <si>
    <t>09-32-04</t>
  </si>
  <si>
    <t>09-32-05</t>
  </si>
  <si>
    <t>09-32-06</t>
  </si>
  <si>
    <t>09-32-07</t>
  </si>
  <si>
    <t>10-36-01</t>
  </si>
  <si>
    <t>ZONA FRANCA</t>
  </si>
  <si>
    <t>00-10-01</t>
  </si>
  <si>
    <t>00-10-02</t>
  </si>
  <si>
    <t>00-10-03</t>
  </si>
  <si>
    <t>00-10-04</t>
  </si>
  <si>
    <t>00-14-01</t>
  </si>
  <si>
    <t>00-14-02</t>
  </si>
  <si>
    <t>00-14-03</t>
  </si>
  <si>
    <t>00-14-04</t>
  </si>
  <si>
    <t>00-14-05</t>
  </si>
  <si>
    <t>00-14-06</t>
  </si>
  <si>
    <t xml:space="preserve">INSTITUCIONAL </t>
  </si>
  <si>
    <t>00-14-07</t>
  </si>
  <si>
    <t>00-21-01</t>
  </si>
  <si>
    <t>CENTRO CAPACITACION</t>
  </si>
  <si>
    <t>00-21-02</t>
  </si>
  <si>
    <t>verde/ parqueo publico</t>
  </si>
  <si>
    <t>00-24-01</t>
  </si>
  <si>
    <t>00-24-02</t>
  </si>
  <si>
    <t>00-24-03</t>
  </si>
  <si>
    <t>00-29-01</t>
  </si>
  <si>
    <t>Parque tematico energia renovable</t>
  </si>
  <si>
    <t>00-33-01</t>
  </si>
  <si>
    <t>00-33-02</t>
  </si>
  <si>
    <t>00-33-03</t>
  </si>
  <si>
    <t>00-34-01</t>
  </si>
  <si>
    <t>00-34-02</t>
  </si>
  <si>
    <t>00-34-03</t>
  </si>
  <si>
    <t>00-34-04</t>
  </si>
  <si>
    <t>00-34-05</t>
  </si>
  <si>
    <t>03-09-11</t>
  </si>
  <si>
    <t>03-09-10</t>
  </si>
  <si>
    <t>03-08-06</t>
  </si>
  <si>
    <t>02-06-10</t>
  </si>
  <si>
    <t>En construcción</t>
  </si>
  <si>
    <t>Planta de Tratamiento de Aguas Residuales No. 2</t>
  </si>
  <si>
    <t>Terminal de Autobuses Omsa</t>
  </si>
  <si>
    <t xml:space="preserve"> </t>
  </si>
  <si>
    <t>Plaza Deportiva y Recreativa Etapa 2</t>
  </si>
  <si>
    <t>Destacamento Policial Tipo II</t>
  </si>
  <si>
    <t>Estación de Bomberos Tipo I</t>
  </si>
  <si>
    <t>Funeraria CJB</t>
  </si>
  <si>
    <t>Cisterna de Agua No. 8</t>
  </si>
  <si>
    <t>alimenta de agua Habitat III y Sembrador II</t>
  </si>
  <si>
    <t>Cisterna de Agua No. 7</t>
  </si>
  <si>
    <t>Tanque de Agua No. 2</t>
  </si>
  <si>
    <t>CAIPI II</t>
  </si>
  <si>
    <t>Politecnico La Mañosa</t>
  </si>
  <si>
    <t>Parque Deportivo Algarrobo No. 22 Etapa 1</t>
  </si>
  <si>
    <t>Parque de Educación Vial Infantil</t>
  </si>
  <si>
    <t>Oficinas DIGESETT</t>
  </si>
  <si>
    <t>Oficina Administrativa Complejo Deportivo</t>
  </si>
  <si>
    <t>Instalación Escolar</t>
  </si>
  <si>
    <t>Centro de Atención Primaria</t>
  </si>
  <si>
    <t>Escuela Primaria Gabriela Mistral</t>
  </si>
  <si>
    <t>Sin Definir</t>
  </si>
  <si>
    <t>Lote Institucional</t>
  </si>
  <si>
    <t>Centro Educativo</t>
  </si>
  <si>
    <t>Área Verde No. 17</t>
  </si>
  <si>
    <t>Área Verde No. 18</t>
  </si>
  <si>
    <t>Parque Ecológico Río Verde</t>
  </si>
  <si>
    <t>Planta de Tratamiento de Aguas No. 3</t>
  </si>
  <si>
    <t>Liceo Francisco Alberto Caamaño Deño</t>
  </si>
  <si>
    <t>Cisterna de Agua</t>
  </si>
  <si>
    <t>Pendiente Remozamiento</t>
  </si>
  <si>
    <t>Destacamento Militar CJB</t>
  </si>
  <si>
    <t>Centro Integral Para Aldultos Mayores</t>
  </si>
  <si>
    <t>Parque Deportivo-Recreativo No. 13</t>
  </si>
  <si>
    <t>Cancha de Tenis</t>
  </si>
  <si>
    <t>Parque Infantil No. 12</t>
  </si>
  <si>
    <t>Centro de Atención para Personas con Discapacidad</t>
  </si>
  <si>
    <t>Hospital Ciudad Juan Bosch</t>
  </si>
  <si>
    <t>CAIPI III</t>
  </si>
  <si>
    <t>Escuela Básica Prof. Juan Bosch</t>
  </si>
  <si>
    <t>Sin uso destinado</t>
  </si>
  <si>
    <t>Politecnico Fray Balbino</t>
  </si>
  <si>
    <t>Parque No. 5 (Cisterna)</t>
  </si>
  <si>
    <t>Sociedad Iglesia</t>
  </si>
  <si>
    <t>Centro de Diagnóstico Médico</t>
  </si>
  <si>
    <t>Parque No. 3 (Cisterna)</t>
  </si>
  <si>
    <t>Cisterna 5</t>
  </si>
  <si>
    <t>Escuela Básica Orlando Martinez</t>
  </si>
  <si>
    <t>Parque Deportivo No. 5</t>
  </si>
  <si>
    <t>Tanque de Agua No. 1</t>
  </si>
  <si>
    <t>Destacamento Policial</t>
  </si>
  <si>
    <t>Parque Infantil No. 4</t>
  </si>
  <si>
    <t>Estación de Bomberos Tipo II</t>
  </si>
  <si>
    <t>Parque Infantil No. 7</t>
  </si>
  <si>
    <t>Politecnico Evangelina Santos de Berges</t>
  </si>
  <si>
    <t>Parque de Bolsillo La Gaviota</t>
  </si>
  <si>
    <t>CAIPI I</t>
  </si>
  <si>
    <t>Escuela Básica Hermanas Mirabal</t>
  </si>
  <si>
    <t>Parque Rosa de Bayahibe (Cisterna)</t>
  </si>
  <si>
    <t>Cisterna 3</t>
  </si>
  <si>
    <t>Unidad del 911</t>
  </si>
  <si>
    <t>Edificio Gubernamental VBC</t>
  </si>
  <si>
    <t>Iglesia Católica</t>
  </si>
  <si>
    <t>Plaza Constitución 1963 (Urbana)</t>
  </si>
  <si>
    <t>INFOTEP</t>
  </si>
  <si>
    <t>Estacionamiento Público No. 11</t>
  </si>
  <si>
    <t>Anfiteatro La Gaviota</t>
  </si>
  <si>
    <t>Parque Temático de Energías Renovables</t>
  </si>
  <si>
    <t>Plaza Camino Real</t>
  </si>
  <si>
    <t>Adventista lote iglesia</t>
  </si>
  <si>
    <t>San Remo Valores</t>
  </si>
  <si>
    <t>Plaza Riu Mall  II</t>
  </si>
  <si>
    <t>Hermanos Maldonados</t>
  </si>
  <si>
    <t>Dumas Center III</t>
  </si>
  <si>
    <t>Inversiones Reyes Caceres, SRL.</t>
  </si>
  <si>
    <t>Plaza La Mañosa</t>
  </si>
  <si>
    <t>Constructora Nagir Ventura Srl</t>
  </si>
  <si>
    <t>Plaza Bohío</t>
  </si>
  <si>
    <t>Adjudicado</t>
  </si>
  <si>
    <t>Constructora Quezbel</t>
  </si>
  <si>
    <t>Camino Real Center</t>
  </si>
  <si>
    <t>Plaza Riu Mall  I</t>
  </si>
  <si>
    <t>ARQGE ARQUITECTOS SRL</t>
  </si>
  <si>
    <t>Bazar Center</t>
  </si>
  <si>
    <t>Construcciones Planificadas</t>
  </si>
  <si>
    <t>La Marquesa Town Center 1</t>
  </si>
  <si>
    <t>La Marquesa Town Center 2</t>
  </si>
  <si>
    <t>Supermercado Olé</t>
  </si>
  <si>
    <t>Testigo de Jehova</t>
  </si>
  <si>
    <t>Ingenieros CP Arquitectos</t>
  </si>
  <si>
    <t>Fragata Center</t>
  </si>
  <si>
    <t>Terminación</t>
  </si>
  <si>
    <t>Dumas Center II</t>
  </si>
  <si>
    <t>Dumas Center I</t>
  </si>
  <si>
    <t>Consorcio Rio Grande</t>
  </si>
  <si>
    <t>La Trinitaria</t>
  </si>
  <si>
    <t>Patio Capital Partners</t>
  </si>
  <si>
    <t>Patio Bosch I</t>
  </si>
  <si>
    <t>NO INICIADO</t>
  </si>
  <si>
    <t>Adjudicado recientemente a Constructora Bisonó</t>
  </si>
  <si>
    <t>Sembrador IX - X</t>
  </si>
  <si>
    <t>Proyecto en proceso de permisologia aprobado recientemente</t>
  </si>
  <si>
    <t>Promotora Pradera Verde</t>
  </si>
  <si>
    <t>Singular</t>
  </si>
  <si>
    <t>Res La Marquesa II</t>
  </si>
  <si>
    <t>RYZEK (Promotora Pradera Verde)</t>
  </si>
  <si>
    <t>Por Definir</t>
  </si>
  <si>
    <t>Reasignado a Promotora Pradera Verde(RIZEK)</t>
  </si>
  <si>
    <t>Consorcio Ingasa-Risek</t>
  </si>
  <si>
    <t>Habitad III</t>
  </si>
  <si>
    <t>CONSTRUCTORA BISONO S.A</t>
  </si>
  <si>
    <t>Sembrador III</t>
  </si>
  <si>
    <t>Consorcio Mota-Engil Dominicana</t>
  </si>
  <si>
    <t>Res. Las Flores</t>
  </si>
  <si>
    <t>Sembrador VII A &amp; B</t>
  </si>
  <si>
    <t>Constructora OV</t>
  </si>
  <si>
    <t>Res. 1909</t>
  </si>
  <si>
    <t>Sembrador VIII A &amp; B</t>
  </si>
  <si>
    <t>Sembrador II</t>
  </si>
  <si>
    <t>Res. Rio Grande</t>
  </si>
  <si>
    <t>Consorcio Conabesa Bello &amp; Diaz</t>
  </si>
  <si>
    <t>Res. 5ta Residence</t>
  </si>
  <si>
    <t>Res. 1933</t>
  </si>
  <si>
    <t>Consorcio Pequeño Burgues</t>
  </si>
  <si>
    <t>Res. Pequeño Burgues</t>
  </si>
  <si>
    <t>Habitad II</t>
  </si>
  <si>
    <t>Casa Coral</t>
  </si>
  <si>
    <t>RJN-Proconstruccion</t>
  </si>
  <si>
    <t>Terrazol II</t>
  </si>
  <si>
    <t>Constructora del Pais CODELPA</t>
  </si>
  <si>
    <t>Palmera III</t>
  </si>
  <si>
    <t>Proceso de aprobación de master plan</t>
  </si>
  <si>
    <t>Servinsco</t>
  </si>
  <si>
    <t>Residencial Sol del Este</t>
  </si>
  <si>
    <t>Estrella</t>
  </si>
  <si>
    <t>Res. Antares III</t>
  </si>
  <si>
    <t>Res. Palmera IV</t>
  </si>
  <si>
    <t>Res. Antares II</t>
  </si>
  <si>
    <t>Sembrador IV</t>
  </si>
  <si>
    <t>Sembrador V</t>
  </si>
  <si>
    <t>Res. Antares I</t>
  </si>
  <si>
    <t>Ciudad Palmera I</t>
  </si>
  <si>
    <t>Ciudad Palmera II</t>
  </si>
  <si>
    <t>Consorcio Dos Amigos</t>
  </si>
  <si>
    <t>Res. Dos Amigos</t>
  </si>
  <si>
    <t xml:space="preserve">Proyecto en ejecucion, hasta el momento se levantaron 656 viviendas </t>
  </si>
  <si>
    <t>Tecnoamerica</t>
  </si>
  <si>
    <t>Res. Rio Verde</t>
  </si>
  <si>
    <t>Crisfer Inmobiliaria S.A.</t>
  </si>
  <si>
    <t>Res. Crisfer</t>
  </si>
  <si>
    <t>La Maravilla</t>
  </si>
  <si>
    <t>Sembrador VI</t>
  </si>
  <si>
    <t>Res. La Marquesa I</t>
  </si>
  <si>
    <t>Sembrador I</t>
  </si>
  <si>
    <t>Consorcio Antillano</t>
  </si>
  <si>
    <t>La Gaviota</t>
  </si>
  <si>
    <t>PARALIZADO</t>
  </si>
  <si>
    <t>Planos solicitados</t>
  </si>
  <si>
    <t>Consorcio Futuro-Amina</t>
  </si>
  <si>
    <t>Res. La Mañosa</t>
  </si>
  <si>
    <t>Consorcio AGK-SI , SRL</t>
  </si>
  <si>
    <t>Camino Verde</t>
  </si>
  <si>
    <t>Consorcio Dominico Español</t>
  </si>
  <si>
    <t>Res. Florazahar</t>
  </si>
  <si>
    <t>GTME DOMINICANA, S.A.S</t>
  </si>
  <si>
    <t>Residencial Camino Real</t>
  </si>
  <si>
    <t>Cumple con los retiros y normativas establecidas</t>
  </si>
  <si>
    <t>Plaza Médica CJB</t>
  </si>
  <si>
    <t>Terraza Park</t>
  </si>
  <si>
    <t>Patio Bosch II</t>
  </si>
  <si>
    <t>Patio Bosch III</t>
  </si>
  <si>
    <t>Disponible</t>
  </si>
  <si>
    <t>En Construcción</t>
  </si>
  <si>
    <t xml:space="preserve">Plaza Constitucion </t>
  </si>
  <si>
    <t xml:space="preserve">Plaza Anfiteatro La Gaviota </t>
  </si>
  <si>
    <t xml:space="preserve">Plaza Camino Real </t>
  </si>
  <si>
    <t>Recreacion</t>
  </si>
  <si>
    <t>04-15-01</t>
  </si>
  <si>
    <t>Por definir</t>
  </si>
  <si>
    <t xml:space="preserve">Habitat I </t>
  </si>
  <si>
    <t>Grupo Inmobiliario Terrazas GIT</t>
  </si>
  <si>
    <t>Terrazol I</t>
  </si>
  <si>
    <t>Residencial Palmera del Este V</t>
  </si>
  <si>
    <t>CONSORCIO INGASA - RIZEK</t>
  </si>
  <si>
    <t>2-A</t>
  </si>
  <si>
    <t>Instituto Educativo</t>
  </si>
  <si>
    <t>Estancia infantil</t>
  </si>
  <si>
    <t>Instalación Deportiva</t>
  </si>
  <si>
    <t>Centro de Salud</t>
  </si>
  <si>
    <t>Telecomunicaciones</t>
  </si>
  <si>
    <t>Hidrosanitario</t>
  </si>
  <si>
    <t>Zona Industrial</t>
  </si>
  <si>
    <t>Parqueo Publico</t>
  </si>
  <si>
    <t>Column1</t>
  </si>
  <si>
    <t>Estación de 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</si>
</sst>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Display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0" fillId="0" borderId="10" xfId="0" applyBorder="1" applyAlignment="1">
      <alignment horizontal="center" vertical="center" wrapText="1"/>
    </xf>
    <xf numFmtId="0" fontId="20" fillId="0" borderId="10" xfId="0" applyFont="1" applyBorder="1" applyAlignment="1">
      <alignment horizontal="center"/>
    </xf>
    <xf numFmtId="2" fontId="20" fillId="0" borderId="10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18" fillId="0" borderId="0" xfId="0" applyNumberFormat="1" applyFont="1" applyAlignment="1">
      <alignment horizontal="center"/>
    </xf>
    <xf numFmtId="49" fontId="19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20" fillId="0" borderId="1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bcrd.sharepoint.com/sites/VBCRD/Shared%20Documents/IDMP/VBC2/Planificaci&#243;n%20Estrat&#233;gica/02%20Desarrollo%20Territorial/Planillas%20DT/Planilla%20Base%20Habitacionales.xlsx" TargetMode="External"/><Relationship Id="rId1" Type="http://schemas.openxmlformats.org/officeDocument/2006/relationships/externalLinkPath" Target="/sites/VBCRD/Shared%20Documents/IDMP/VBC2/Planificaci&#243;n%20Estrat&#233;gica/02%20Desarrollo%20Territorial/Planillas%20DT/Planilla%20Base%20Habitacion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BITACIONAL"/>
      <sheetName val="COMERCIAL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B8B399-31ED-4EFF-9C60-ED4DFE1AD874}" name="Table1" displayName="Table1" ref="A1:Q184" totalsRowShown="0">
  <autoFilter ref="A1:Q184" xr:uid="{8CB8B399-31ED-4EFF-9C60-ED4DFE1AD874}"/>
  <tableColumns count="17">
    <tableColumn id="1" xr3:uid="{433E7D44-E420-4187-9372-D7A100CDF5F1}" name="id" dataDxfId="10"/>
    <tableColumn id="2" xr3:uid="{7ADA9152-E883-495D-A386-7E522388F7C6}" name="tipo"/>
    <tableColumn id="3" xr3:uid="{B865D052-A82C-4E18-8076-131D21A590F4}" name="subtipo"/>
    <tableColumn id="4" xr3:uid="{92876ADF-FF82-41A3-A75F-A6CEAE2A10B2}" name="etapa" dataDxfId="9"/>
    <tableColumn id="5" xr3:uid="{EEB62D07-F305-46CA-A8EA-A9B03DD2F589}" name="desarrollador" dataDxfId="8"/>
    <tableColumn id="6" xr3:uid="{27ACDDCF-B99A-40AB-AC7F-E6ABD3C3F0EA}" name="nombre"/>
    <tableColumn id="7" xr3:uid="{B2FBAA2E-1A2B-4480-AC4B-35B41F11B042}" name="area_m2" dataDxfId="7">
      <calculatedColumnFormula>IFERROR(VLOOKUP(Table1[[#This Row],[id]],[1]HABITACIONAL!$A$1:$AF$50,5,FALSE), " ")</calculatedColumnFormula>
    </tableColumn>
    <tableColumn id="8" xr3:uid="{DDBF287D-21EE-4232-B7D7-971F0F70154C}" name="unidades_hab" dataDxfId="6">
      <calculatedColumnFormula>IFERROR(VLOOKUP(Table1[[#This Row],[id]],[1]HABITACIONAL!$A$1:$AF$50,8,FALSE), " ")</calculatedColumnFormula>
    </tableColumn>
    <tableColumn id="9" xr3:uid="{55F58A78-9399-4747-976C-F0FB8D2ACAA5}" name="estado" dataDxfId="5"/>
    <tableColumn id="10" xr3:uid="{14A8541F-26F5-4BC4-8DAA-CD119FBA0BA0}" name="aÃ±o_asignacion" dataDxfId="4"/>
    <tableColumn id="11" xr3:uid="{8644A394-5140-4D69-9EBA-9ABB5B7D38DF}" name="aÃ±o_entrega" dataDxfId="3"/>
    <tableColumn id="12" xr3:uid="{C6DD6125-5566-47D2-8E58-281923EAFEF9}" name="propietario"/>
    <tableColumn id="13" xr3:uid="{640F835D-F71C-4768-8EC7-8BFCBFD5D0F1}" name="observaciones" dataDxfId="2"/>
    <tableColumn id="14" xr3:uid="{7CD3C68F-2E22-4193-9F36-364F36C31460}" name="Pilar"/>
    <tableColumn id="15" xr3:uid="{97B97CF6-C9BE-46A9-B5FA-0373EB5B574C}" name="Referencia"/>
    <tableColumn id="16" xr3:uid="{DE09F7EA-944B-4C4D-AA74-F7010C2A6B6D}" name="Cuadrante"/>
    <tableColumn id="17" xr3:uid="{9461072B-7D0C-4192-9B54-0FA736CF6A9D}" name="Column1" dataDxfId="0">
      <calculatedColumnFormula>_xlfn.XLOOKUP(Table1[[#This Row],[subtipo]],$C$192:$C$228,$D$192:$D$228,"",0)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C20B-F7FF-41FC-8B1D-26E46DE469FF}">
  <dimension ref="A1:Q184"/>
  <sheetViews>
    <sheetView tabSelected="1" zoomScale="145" zoomScaleNormal="145" workbookViewId="0">
      <selection activeCell="A2" sqref="A2"/>
    </sheetView>
  </sheetViews>
  <sheetFormatPr defaultColWidth="8.90625" defaultRowHeight="14.5" x14ac:dyDescent="0.35"/>
  <cols>
    <col min="1" max="1" width="8.36328125" bestFit="1" customWidth="1"/>
    <col min="2" max="2" width="11.1796875" bestFit="1" customWidth="1"/>
    <col min="3" max="3" width="38" customWidth="1"/>
    <col min="4" max="4" width="13.90625" bestFit="1" customWidth="1"/>
    <col min="5" max="5" width="27.08984375" bestFit="1" customWidth="1"/>
    <col min="6" max="6" width="43.7265625" bestFit="1" customWidth="1"/>
    <col min="7" max="7" width="14.36328125" style="11" customWidth="1"/>
    <col min="8" max="8" width="14.81640625" style="12" bestFit="1" customWidth="1"/>
    <col min="9" max="9" width="27.08984375" style="6" bestFit="1" customWidth="1"/>
    <col min="10" max="10" width="17" style="6" bestFit="1" customWidth="1"/>
    <col min="11" max="11" width="14.36328125" style="6" bestFit="1" customWidth="1"/>
    <col min="12" max="12" width="12.54296875" bestFit="1" customWidth="1"/>
    <col min="13" max="13" width="15.1796875" bestFit="1" customWidth="1"/>
    <col min="14" max="14" width="22.1796875" bestFit="1" customWidth="1"/>
    <col min="15" max="15" width="37.08984375" bestFit="1" customWidth="1"/>
    <col min="16" max="16" width="11.906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1" t="s">
        <v>6</v>
      </c>
      <c r="H1" s="12" t="s">
        <v>7</v>
      </c>
      <c r="I1" s="6" t="s">
        <v>8</v>
      </c>
      <c r="J1" s="6" t="s">
        <v>9</v>
      </c>
      <c r="K1" s="6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451</v>
      </c>
    </row>
    <row r="2" spans="1:17" x14ac:dyDescent="0.35">
      <c r="A2" s="1" t="s">
        <v>16</v>
      </c>
      <c r="B2" t="s">
        <v>17</v>
      </c>
      <c r="C2" t="s">
        <v>18</v>
      </c>
      <c r="E2" t="s">
        <v>368</v>
      </c>
      <c r="F2" t="s">
        <v>259</v>
      </c>
      <c r="G2" s="11">
        <v>34623.980000000003</v>
      </c>
      <c r="H2" s="12" t="s">
        <v>261</v>
      </c>
      <c r="I2" s="6" t="s">
        <v>19</v>
      </c>
      <c r="J2" s="7">
        <v>45658</v>
      </c>
      <c r="N2" t="s">
        <v>20</v>
      </c>
      <c r="O2" t="s">
        <v>21</v>
      </c>
      <c r="Q2" t="str">
        <f>_xlfn.XLOOKUP(Table1[[#This Row],[subtipo]],$C$192:$C$228,$D$192:$D$228,"",0)</f>
        <v/>
      </c>
    </row>
    <row r="3" spans="1:17" x14ac:dyDescent="0.35">
      <c r="A3" s="1" t="s">
        <v>22</v>
      </c>
      <c r="B3" t="s">
        <v>17</v>
      </c>
      <c r="C3" t="s">
        <v>23</v>
      </c>
      <c r="F3" t="s">
        <v>260</v>
      </c>
      <c r="G3" s="11">
        <v>13314.93</v>
      </c>
      <c r="H3" s="12" t="s">
        <v>261</v>
      </c>
      <c r="I3" s="6" t="s">
        <v>356</v>
      </c>
      <c r="N3" t="s">
        <v>24</v>
      </c>
      <c r="O3" t="s">
        <v>25</v>
      </c>
      <c r="Q3" t="str">
        <f>_xlfn.XLOOKUP(Table1[[#This Row],[subtipo]],$C$192:$C$228,$D$192:$D$228,"",0)</f>
        <v/>
      </c>
    </row>
    <row r="4" spans="1:17" x14ac:dyDescent="0.35">
      <c r="A4" s="1" t="s">
        <v>26</v>
      </c>
      <c r="B4" t="s">
        <v>27</v>
      </c>
      <c r="C4" t="s">
        <v>27</v>
      </c>
      <c r="E4" t="s">
        <v>368</v>
      </c>
      <c r="F4" t="s">
        <v>30</v>
      </c>
      <c r="G4" s="11">
        <v>27055.42</v>
      </c>
      <c r="H4" s="12">
        <v>384</v>
      </c>
      <c r="I4" s="6" t="s">
        <v>356</v>
      </c>
      <c r="J4" s="6" t="s">
        <v>261</v>
      </c>
      <c r="K4" s="6" t="s">
        <v>261</v>
      </c>
      <c r="M4" t="s">
        <v>357</v>
      </c>
      <c r="N4" t="s">
        <v>28</v>
      </c>
      <c r="O4" t="s">
        <v>28</v>
      </c>
      <c r="Q4" t="str">
        <f>_xlfn.XLOOKUP(Table1[[#This Row],[subtipo]],$C$192:$C$228,$D$192:$D$228,"",0)</f>
        <v/>
      </c>
    </row>
    <row r="5" spans="1:17" x14ac:dyDescent="0.35">
      <c r="A5" s="1" t="s">
        <v>29</v>
      </c>
      <c r="B5" t="s">
        <v>27</v>
      </c>
      <c r="C5" t="s">
        <v>27</v>
      </c>
      <c r="E5" t="s">
        <v>368</v>
      </c>
      <c r="F5" t="s">
        <v>358</v>
      </c>
      <c r="G5" s="11">
        <v>34409.550000000003</v>
      </c>
      <c r="H5" s="12">
        <v>504</v>
      </c>
      <c r="I5" s="6" t="s">
        <v>430</v>
      </c>
      <c r="J5" s="6" t="s">
        <v>261</v>
      </c>
      <c r="K5" s="6" t="s">
        <v>261</v>
      </c>
      <c r="M5" t="s">
        <v>359</v>
      </c>
      <c r="N5" t="s">
        <v>28</v>
      </c>
      <c r="O5" t="s">
        <v>28</v>
      </c>
      <c r="Q5" t="str">
        <f>_xlfn.XLOOKUP(Table1[[#This Row],[subtipo]],$C$192:$C$228,$D$192:$D$228,"",0)</f>
        <v/>
      </c>
    </row>
    <row r="6" spans="1:17" x14ac:dyDescent="0.35">
      <c r="A6" s="1" t="s">
        <v>31</v>
      </c>
      <c r="B6" t="s">
        <v>27</v>
      </c>
      <c r="C6" t="s">
        <v>27</v>
      </c>
      <c r="E6" t="s">
        <v>368</v>
      </c>
      <c r="F6" t="s">
        <v>358</v>
      </c>
      <c r="G6" s="11">
        <v>34409.550000000003</v>
      </c>
      <c r="H6" s="12">
        <v>0</v>
      </c>
      <c r="I6" s="6" t="s">
        <v>430</v>
      </c>
      <c r="J6" s="6" t="s">
        <v>261</v>
      </c>
      <c r="K6" s="6" t="s">
        <v>261</v>
      </c>
      <c r="M6" t="s">
        <v>359</v>
      </c>
      <c r="N6" t="s">
        <v>28</v>
      </c>
      <c r="O6" t="s">
        <v>28</v>
      </c>
      <c r="Q6" t="str">
        <f>_xlfn.XLOOKUP(Table1[[#This Row],[subtipo]],$C$192:$C$228,$D$192:$D$228,"",0)</f>
        <v/>
      </c>
    </row>
    <row r="7" spans="1:17" x14ac:dyDescent="0.35">
      <c r="A7" s="1" t="s">
        <v>32</v>
      </c>
      <c r="B7" t="s">
        <v>33</v>
      </c>
      <c r="C7" t="s">
        <v>33</v>
      </c>
      <c r="G7" s="11">
        <v>32997.47</v>
      </c>
      <c r="H7" s="12" t="s">
        <v>261</v>
      </c>
      <c r="I7" s="6" t="s">
        <v>429</v>
      </c>
      <c r="M7" t="s">
        <v>261</v>
      </c>
      <c r="N7" t="s">
        <v>34</v>
      </c>
      <c r="O7" t="s">
        <v>35</v>
      </c>
      <c r="Q7" t="str">
        <f>_xlfn.XLOOKUP(Table1[[#This Row],[subtipo]],$C$192:$C$228,$D$192:$D$228,"",0)</f>
        <v/>
      </c>
    </row>
    <row r="8" spans="1:17" x14ac:dyDescent="0.35">
      <c r="A8" s="1" t="s">
        <v>36</v>
      </c>
      <c r="B8" t="s">
        <v>27</v>
      </c>
      <c r="C8" t="s">
        <v>27</v>
      </c>
      <c r="E8" t="s">
        <v>360</v>
      </c>
      <c r="F8" t="s">
        <v>361</v>
      </c>
      <c r="G8" s="11">
        <v>55781</v>
      </c>
      <c r="H8" s="12">
        <v>944</v>
      </c>
      <c r="I8" s="6" t="s">
        <v>430</v>
      </c>
      <c r="J8" s="6" t="s">
        <v>261</v>
      </c>
      <c r="K8" s="6" t="s">
        <v>261</v>
      </c>
      <c r="N8" t="s">
        <v>28</v>
      </c>
      <c r="O8" t="s">
        <v>28</v>
      </c>
      <c r="Q8" t="str">
        <f>_xlfn.XLOOKUP(Table1[[#This Row],[subtipo]],$C$192:$C$228,$D$192:$D$228,"",0)</f>
        <v/>
      </c>
    </row>
    <row r="9" spans="1:17" x14ac:dyDescent="0.35">
      <c r="A9" s="1" t="s">
        <v>37</v>
      </c>
      <c r="B9" t="s">
        <v>17</v>
      </c>
      <c r="C9" t="s">
        <v>38</v>
      </c>
      <c r="E9" t="s">
        <v>261</v>
      </c>
      <c r="F9" t="s">
        <v>452</v>
      </c>
      <c r="G9" s="11">
        <v>11654.43</v>
      </c>
      <c r="H9" s="12" t="s">
        <v>261</v>
      </c>
      <c r="I9" s="6" t="s">
        <v>261</v>
      </c>
      <c r="J9" s="6" t="s">
        <v>261</v>
      </c>
      <c r="K9" s="6" t="s">
        <v>261</v>
      </c>
      <c r="M9" t="s">
        <v>261</v>
      </c>
      <c r="N9" t="s">
        <v>34</v>
      </c>
      <c r="O9" t="s">
        <v>38</v>
      </c>
      <c r="Q9" t="str">
        <f>_xlfn.XLOOKUP(Table1[[#This Row],[subtipo]],$C$192:$C$228,$D$192:$D$228,"",0)</f>
        <v/>
      </c>
    </row>
    <row r="10" spans="1:17" x14ac:dyDescent="0.35">
      <c r="A10" s="1" t="s">
        <v>39</v>
      </c>
      <c r="B10" t="s">
        <v>27</v>
      </c>
      <c r="C10" t="s">
        <v>27</v>
      </c>
      <c r="E10" t="s">
        <v>342</v>
      </c>
      <c r="F10" t="s">
        <v>362</v>
      </c>
      <c r="G10" s="11">
        <v>23683.68</v>
      </c>
      <c r="H10" s="12">
        <v>328</v>
      </c>
      <c r="I10" s="6" t="s">
        <v>430</v>
      </c>
      <c r="J10" s="6" t="s">
        <v>261</v>
      </c>
      <c r="K10" s="6" t="s">
        <v>261</v>
      </c>
      <c r="N10" t="s">
        <v>28</v>
      </c>
      <c r="O10" t="s">
        <v>28</v>
      </c>
      <c r="Q10" t="str">
        <f>_xlfn.XLOOKUP(Table1[[#This Row],[subtipo]],$C$192:$C$228,$D$192:$D$228,"",0)</f>
        <v/>
      </c>
    </row>
    <row r="11" spans="1:17" x14ac:dyDescent="0.35">
      <c r="A11" s="1" t="s">
        <v>40</v>
      </c>
      <c r="B11" t="s">
        <v>33</v>
      </c>
      <c r="C11" t="s">
        <v>33</v>
      </c>
      <c r="G11" s="11">
        <v>22771.83</v>
      </c>
      <c r="H11" s="12" t="s">
        <v>261</v>
      </c>
      <c r="I11" s="6" t="s">
        <v>429</v>
      </c>
      <c r="M11" t="s">
        <v>261</v>
      </c>
      <c r="N11" t="s">
        <v>34</v>
      </c>
      <c r="O11" t="s">
        <v>33</v>
      </c>
      <c r="Q11" t="str">
        <f>_xlfn.XLOOKUP(Table1[[#This Row],[subtipo]],$C$192:$C$228,$D$192:$D$228,"",0)</f>
        <v/>
      </c>
    </row>
    <row r="12" spans="1:17" x14ac:dyDescent="0.35">
      <c r="A12" s="1" t="s">
        <v>41</v>
      </c>
      <c r="B12" t="s">
        <v>17</v>
      </c>
      <c r="C12" t="s">
        <v>42</v>
      </c>
      <c r="F12" t="s">
        <v>262</v>
      </c>
      <c r="G12" s="11">
        <v>2074.88</v>
      </c>
      <c r="H12" s="12" t="s">
        <v>261</v>
      </c>
      <c r="I12" s="6" t="s">
        <v>258</v>
      </c>
      <c r="J12" s="7">
        <v>44927</v>
      </c>
      <c r="N12" t="s">
        <v>43</v>
      </c>
      <c r="O12" t="s">
        <v>44</v>
      </c>
      <c r="Q12" t="str">
        <f>_xlfn.XLOOKUP(Table1[[#This Row],[subtipo]],$C$192:$C$228,$D$192:$D$228,"",0)</f>
        <v/>
      </c>
    </row>
    <row r="13" spans="1:17" x14ac:dyDescent="0.35">
      <c r="A13" s="1" t="s">
        <v>45</v>
      </c>
      <c r="B13" t="s">
        <v>17</v>
      </c>
      <c r="C13" t="s">
        <v>46</v>
      </c>
      <c r="F13" t="s">
        <v>263</v>
      </c>
      <c r="G13" s="11">
        <v>1636.19</v>
      </c>
      <c r="H13" s="12" t="s">
        <v>261</v>
      </c>
      <c r="I13" s="6" t="s">
        <v>19</v>
      </c>
      <c r="K13" s="7">
        <v>43466</v>
      </c>
      <c r="N13" t="s">
        <v>46</v>
      </c>
      <c r="O13" t="s">
        <v>47</v>
      </c>
      <c r="Q13" t="str">
        <f>_xlfn.XLOOKUP(Table1[[#This Row],[subtipo]],$C$192:$C$228,$D$192:$D$228,"",0)</f>
        <v/>
      </c>
    </row>
    <row r="14" spans="1:17" x14ac:dyDescent="0.35">
      <c r="A14" s="1" t="s">
        <v>48</v>
      </c>
      <c r="B14" t="s">
        <v>17</v>
      </c>
      <c r="C14" t="s">
        <v>46</v>
      </c>
      <c r="F14" t="s">
        <v>264</v>
      </c>
      <c r="G14" s="11">
        <v>2493.71</v>
      </c>
      <c r="H14" s="12" t="s">
        <v>261</v>
      </c>
      <c r="I14" s="6" t="s">
        <v>19</v>
      </c>
      <c r="K14" s="7">
        <v>43466</v>
      </c>
      <c r="N14" t="s">
        <v>46</v>
      </c>
      <c r="O14" t="s">
        <v>49</v>
      </c>
      <c r="Q14" t="str">
        <f>_xlfn.XLOOKUP(Table1[[#This Row],[subtipo]],$C$192:$C$228,$D$192:$D$228,"",0)</f>
        <v/>
      </c>
    </row>
    <row r="15" spans="1:17" x14ac:dyDescent="0.35">
      <c r="A15" s="1" t="s">
        <v>50</v>
      </c>
      <c r="B15" t="s">
        <v>27</v>
      </c>
      <c r="C15" t="s">
        <v>27</v>
      </c>
      <c r="E15" t="s">
        <v>363</v>
      </c>
      <c r="F15" t="s">
        <v>364</v>
      </c>
      <c r="G15" s="11">
        <v>80173.710000000006</v>
      </c>
      <c r="H15" s="12">
        <v>1176</v>
      </c>
      <c r="I15" s="6" t="s">
        <v>356</v>
      </c>
      <c r="J15" s="6" t="s">
        <v>261</v>
      </c>
      <c r="K15" s="6" t="s">
        <v>261</v>
      </c>
      <c r="M15" t="s">
        <v>365</v>
      </c>
      <c r="N15" t="s">
        <v>28</v>
      </c>
      <c r="O15" t="s">
        <v>28</v>
      </c>
      <c r="Q15" t="str">
        <f>_xlfn.XLOOKUP(Table1[[#This Row],[subtipo]],$C$192:$C$228,$D$192:$D$228,"",0)</f>
        <v/>
      </c>
    </row>
    <row r="16" spans="1:17" x14ac:dyDescent="0.35">
      <c r="A16" s="1" t="s">
        <v>51</v>
      </c>
      <c r="B16" t="s">
        <v>17</v>
      </c>
      <c r="C16" t="s">
        <v>52</v>
      </c>
      <c r="F16" t="s">
        <v>265</v>
      </c>
      <c r="G16" s="11">
        <v>2106.4</v>
      </c>
      <c r="H16" s="12" t="s">
        <v>261</v>
      </c>
      <c r="I16" s="6" t="s">
        <v>258</v>
      </c>
      <c r="J16" s="7">
        <v>45658</v>
      </c>
      <c r="O16" t="s">
        <v>35</v>
      </c>
      <c r="Q16" t="str">
        <f>_xlfn.XLOOKUP(Table1[[#This Row],[subtipo]],$C$192:$C$228,$D$192:$D$228,"",0)</f>
        <v/>
      </c>
    </row>
    <row r="17" spans="1:17" x14ac:dyDescent="0.35">
      <c r="A17" s="1" t="s">
        <v>53</v>
      </c>
      <c r="B17" t="s">
        <v>17</v>
      </c>
      <c r="C17" t="s">
        <v>42</v>
      </c>
      <c r="F17" t="s">
        <v>266</v>
      </c>
      <c r="G17" s="11">
        <v>2279.9299999999998</v>
      </c>
      <c r="H17" s="12" t="s">
        <v>261</v>
      </c>
      <c r="I17" s="6" t="s">
        <v>19</v>
      </c>
      <c r="K17" s="7">
        <v>44927</v>
      </c>
      <c r="M17" t="s">
        <v>267</v>
      </c>
      <c r="N17" t="s">
        <v>43</v>
      </c>
      <c r="O17" t="s">
        <v>44</v>
      </c>
      <c r="Q17" t="str">
        <f>_xlfn.XLOOKUP(Table1[[#This Row],[subtipo]],$C$192:$C$228,$D$192:$D$228,"",0)</f>
        <v/>
      </c>
    </row>
    <row r="18" spans="1:17" x14ac:dyDescent="0.35">
      <c r="A18" s="1" t="s">
        <v>54</v>
      </c>
      <c r="B18" t="s">
        <v>17</v>
      </c>
      <c r="C18" t="s">
        <v>448</v>
      </c>
      <c r="F18" t="s">
        <v>268</v>
      </c>
      <c r="G18" s="11">
        <v>0</v>
      </c>
      <c r="H18" s="12" t="s">
        <v>261</v>
      </c>
      <c r="I18" s="6" t="s">
        <v>19</v>
      </c>
      <c r="K18" s="7">
        <v>43466</v>
      </c>
      <c r="N18" t="s">
        <v>20</v>
      </c>
      <c r="O18" t="s">
        <v>55</v>
      </c>
      <c r="Q18" t="str">
        <f>_xlfn.XLOOKUP(Table1[[#This Row],[subtipo]],$C$192:$C$228,$D$192:$D$228,"",0)</f>
        <v/>
      </c>
    </row>
    <row r="19" spans="1:17" x14ac:dyDescent="0.35">
      <c r="A19" s="1" t="s">
        <v>56</v>
      </c>
      <c r="B19" t="s">
        <v>27</v>
      </c>
      <c r="C19" t="s">
        <v>27</v>
      </c>
      <c r="E19" t="s">
        <v>366</v>
      </c>
      <c r="F19" t="s">
        <v>367</v>
      </c>
      <c r="G19" s="11">
        <v>10000.56</v>
      </c>
      <c r="H19" s="12">
        <v>144</v>
      </c>
      <c r="I19" s="6" t="s">
        <v>430</v>
      </c>
      <c r="J19" s="6" t="s">
        <v>261</v>
      </c>
      <c r="K19" s="6" t="s">
        <v>261</v>
      </c>
      <c r="N19" t="s">
        <v>28</v>
      </c>
      <c r="O19" t="s">
        <v>28</v>
      </c>
      <c r="Q19" t="str">
        <f>_xlfn.XLOOKUP(Table1[[#This Row],[subtipo]],$C$192:$C$228,$D$192:$D$228,"",0)</f>
        <v/>
      </c>
    </row>
    <row r="20" spans="1:17" x14ac:dyDescent="0.35">
      <c r="A20" s="1" t="s">
        <v>57</v>
      </c>
      <c r="B20" t="s">
        <v>17</v>
      </c>
      <c r="C20" t="s">
        <v>443</v>
      </c>
      <c r="F20" t="s">
        <v>269</v>
      </c>
      <c r="G20" s="11">
        <v>8764.6200000000008</v>
      </c>
      <c r="H20" s="12" t="s">
        <v>261</v>
      </c>
      <c r="I20" s="6" t="s">
        <v>258</v>
      </c>
      <c r="J20" s="7">
        <v>45292</v>
      </c>
      <c r="N20" t="s">
        <v>59</v>
      </c>
      <c r="O20" t="s">
        <v>58</v>
      </c>
      <c r="Q20" t="str">
        <f>_xlfn.XLOOKUP(Table1[[#This Row],[subtipo]],$C$192:$C$228,$D$192:$D$228,"",0)</f>
        <v/>
      </c>
    </row>
    <row r="21" spans="1:17" x14ac:dyDescent="0.35">
      <c r="A21" s="1" t="s">
        <v>60</v>
      </c>
      <c r="B21" t="s">
        <v>27</v>
      </c>
      <c r="C21" t="s">
        <v>27</v>
      </c>
      <c r="E21" t="s">
        <v>368</v>
      </c>
      <c r="F21" t="s">
        <v>369</v>
      </c>
      <c r="G21" s="11">
        <v>141828.6</v>
      </c>
      <c r="H21" s="12">
        <v>1776</v>
      </c>
      <c r="I21" s="6" t="s">
        <v>19</v>
      </c>
      <c r="J21" s="6" t="s">
        <v>261</v>
      </c>
      <c r="K21" s="7">
        <v>44927</v>
      </c>
      <c r="N21" t="s">
        <v>28</v>
      </c>
      <c r="O21" t="s">
        <v>28</v>
      </c>
      <c r="Q21" t="str">
        <f>_xlfn.XLOOKUP(Table1[[#This Row],[subtipo]],$C$192:$C$228,$D$192:$D$228,"",0)</f>
        <v/>
      </c>
    </row>
    <row r="22" spans="1:17" x14ac:dyDescent="0.35">
      <c r="A22" s="1" t="s">
        <v>61</v>
      </c>
      <c r="B22" t="s">
        <v>17</v>
      </c>
      <c r="C22" t="s">
        <v>444</v>
      </c>
      <c r="F22" t="s">
        <v>270</v>
      </c>
      <c r="G22" s="11">
        <v>4099.8599999999997</v>
      </c>
      <c r="H22" s="12" t="s">
        <v>261</v>
      </c>
      <c r="I22" s="6" t="s">
        <v>19</v>
      </c>
      <c r="K22" s="7">
        <v>43831</v>
      </c>
      <c r="N22" t="s">
        <v>59</v>
      </c>
      <c r="O22" t="s">
        <v>63</v>
      </c>
      <c r="Q22" t="str">
        <f>_xlfn.XLOOKUP(Table1[[#This Row],[subtipo]],$C$192:$C$228,$D$192:$D$228,"",0)</f>
        <v/>
      </c>
    </row>
    <row r="23" spans="1:17" x14ac:dyDescent="0.35">
      <c r="A23" s="1" t="s">
        <v>64</v>
      </c>
      <c r="B23" t="s">
        <v>33</v>
      </c>
      <c r="C23" t="s">
        <v>33</v>
      </c>
      <c r="E23" t="s">
        <v>327</v>
      </c>
      <c r="F23" t="s">
        <v>327</v>
      </c>
      <c r="G23" s="11">
        <v>3160.08</v>
      </c>
      <c r="H23" s="12" t="s">
        <v>261</v>
      </c>
      <c r="M23" t="s">
        <v>261</v>
      </c>
      <c r="N23" t="s">
        <v>34</v>
      </c>
      <c r="O23" t="s">
        <v>35</v>
      </c>
      <c r="Q23" t="str">
        <f>_xlfn.XLOOKUP(Table1[[#This Row],[subtipo]],$C$192:$C$228,$D$192:$D$228,"",0)</f>
        <v/>
      </c>
    </row>
    <row r="24" spans="1:17" x14ac:dyDescent="0.35">
      <c r="A24" s="1" t="s">
        <v>65</v>
      </c>
      <c r="B24" t="s">
        <v>33</v>
      </c>
      <c r="C24" t="s">
        <v>33</v>
      </c>
      <c r="E24" t="s">
        <v>328</v>
      </c>
      <c r="F24" t="s">
        <v>329</v>
      </c>
      <c r="G24" s="11">
        <v>2108.62</v>
      </c>
      <c r="H24" s="12" t="s">
        <v>261</v>
      </c>
      <c r="M24" t="s">
        <v>261</v>
      </c>
      <c r="N24" t="s">
        <v>34</v>
      </c>
      <c r="O24" t="s">
        <v>35</v>
      </c>
      <c r="Q24" t="str">
        <f>_xlfn.XLOOKUP(Table1[[#This Row],[subtipo]],$C$192:$C$228,$D$192:$D$228,"",0)</f>
        <v/>
      </c>
    </row>
    <row r="25" spans="1:17" x14ac:dyDescent="0.35">
      <c r="A25" s="1" t="s">
        <v>66</v>
      </c>
      <c r="B25" t="s">
        <v>27</v>
      </c>
      <c r="C25" t="s">
        <v>27</v>
      </c>
      <c r="E25" t="s">
        <v>370</v>
      </c>
      <c r="F25" t="s">
        <v>371</v>
      </c>
      <c r="G25" s="11">
        <v>32965.379999999997</v>
      </c>
      <c r="H25" s="12">
        <v>504</v>
      </c>
      <c r="I25" s="6" t="s">
        <v>19</v>
      </c>
      <c r="J25" s="6" t="s">
        <v>261</v>
      </c>
      <c r="K25" s="7">
        <v>43831</v>
      </c>
      <c r="N25" t="s">
        <v>28</v>
      </c>
      <c r="O25" t="s">
        <v>28</v>
      </c>
      <c r="Q25" t="str">
        <f>_xlfn.XLOOKUP(Table1[[#This Row],[subtipo]],$C$192:$C$228,$D$192:$D$228,"",0)</f>
        <v/>
      </c>
    </row>
    <row r="26" spans="1:17" x14ac:dyDescent="0.35">
      <c r="A26" s="1" t="s">
        <v>67</v>
      </c>
      <c r="B26" t="s">
        <v>27</v>
      </c>
      <c r="C26" t="s">
        <v>27</v>
      </c>
      <c r="E26" t="s">
        <v>368</v>
      </c>
      <c r="F26" t="s">
        <v>372</v>
      </c>
      <c r="G26" s="11">
        <v>24233.85</v>
      </c>
      <c r="H26" s="12">
        <v>0</v>
      </c>
      <c r="I26" s="6" t="s">
        <v>19</v>
      </c>
      <c r="J26" s="6" t="s">
        <v>261</v>
      </c>
      <c r="K26" s="8"/>
      <c r="N26" t="s">
        <v>28</v>
      </c>
      <c r="O26" t="s">
        <v>28</v>
      </c>
      <c r="Q26" t="str">
        <f>_xlfn.XLOOKUP(Table1[[#This Row],[subtipo]],$C$192:$C$228,$D$192:$D$228,"",0)</f>
        <v/>
      </c>
    </row>
    <row r="27" spans="1:17" x14ac:dyDescent="0.35">
      <c r="A27" s="1" t="s">
        <v>68</v>
      </c>
      <c r="B27" t="s">
        <v>27</v>
      </c>
      <c r="C27" t="s">
        <v>27</v>
      </c>
      <c r="E27" t="s">
        <v>368</v>
      </c>
      <c r="F27" t="s">
        <v>372</v>
      </c>
      <c r="G27" s="11">
        <v>24233.85</v>
      </c>
      <c r="H27" s="12">
        <v>328</v>
      </c>
      <c r="I27" s="6" t="s">
        <v>19</v>
      </c>
      <c r="J27" s="6" t="s">
        <v>261</v>
      </c>
      <c r="K27" s="7">
        <v>45778</v>
      </c>
      <c r="N27" t="s">
        <v>28</v>
      </c>
      <c r="O27" t="s">
        <v>28</v>
      </c>
      <c r="Q27" t="str">
        <f>_xlfn.XLOOKUP(Table1[[#This Row],[subtipo]],$C$192:$C$228,$D$192:$D$228,"",0)</f>
        <v/>
      </c>
    </row>
    <row r="28" spans="1:17" x14ac:dyDescent="0.35">
      <c r="A28" s="1" t="s">
        <v>69</v>
      </c>
      <c r="B28" t="s">
        <v>17</v>
      </c>
      <c r="C28" t="s">
        <v>443</v>
      </c>
      <c r="F28" t="s">
        <v>271</v>
      </c>
      <c r="G28" s="11">
        <v>8363.0400000000009</v>
      </c>
      <c r="H28" s="12" t="s">
        <v>261</v>
      </c>
      <c r="I28" s="6" t="s">
        <v>258</v>
      </c>
      <c r="J28" s="7">
        <v>45292</v>
      </c>
      <c r="N28" t="s">
        <v>59</v>
      </c>
      <c r="O28" t="s">
        <v>70</v>
      </c>
      <c r="Q28" t="str">
        <f>_xlfn.XLOOKUP(Table1[[#This Row],[subtipo]],$C$192:$C$228,$D$192:$D$228,"",0)</f>
        <v/>
      </c>
    </row>
    <row r="29" spans="1:17" x14ac:dyDescent="0.35">
      <c r="A29" s="1" t="s">
        <v>71</v>
      </c>
      <c r="B29" t="s">
        <v>17</v>
      </c>
      <c r="C29" t="s">
        <v>443</v>
      </c>
      <c r="E29" t="s">
        <v>261</v>
      </c>
      <c r="F29" t="s">
        <v>261</v>
      </c>
      <c r="G29" s="11">
        <v>8147.27</v>
      </c>
      <c r="H29" s="12" t="s">
        <v>261</v>
      </c>
      <c r="I29" s="6" t="s">
        <v>261</v>
      </c>
      <c r="J29" s="6" t="s">
        <v>261</v>
      </c>
      <c r="K29" s="6" t="s">
        <v>261</v>
      </c>
      <c r="M29" t="s">
        <v>261</v>
      </c>
      <c r="N29" t="s">
        <v>59</v>
      </c>
      <c r="O29" t="s">
        <v>70</v>
      </c>
      <c r="Q29" t="str">
        <f>_xlfn.XLOOKUP(Table1[[#This Row],[subtipo]],$C$192:$C$228,$D$192:$D$228,"",0)</f>
        <v/>
      </c>
    </row>
    <row r="30" spans="1:17" x14ac:dyDescent="0.35">
      <c r="A30" s="1" t="s">
        <v>72</v>
      </c>
      <c r="B30" t="s">
        <v>33</v>
      </c>
      <c r="C30" t="s">
        <v>33</v>
      </c>
      <c r="E30" t="s">
        <v>330</v>
      </c>
      <c r="F30" t="s">
        <v>331</v>
      </c>
      <c r="G30" s="11">
        <v>557.89</v>
      </c>
      <c r="H30" s="12" t="s">
        <v>261</v>
      </c>
      <c r="M30" t="s">
        <v>261</v>
      </c>
      <c r="N30" t="s">
        <v>34</v>
      </c>
      <c r="O30" t="s">
        <v>35</v>
      </c>
      <c r="Q30" t="str">
        <f>_xlfn.XLOOKUP(Table1[[#This Row],[subtipo]],$C$192:$C$228,$D$192:$D$228,"",0)</f>
        <v/>
      </c>
    </row>
    <row r="31" spans="1:17" x14ac:dyDescent="0.35">
      <c r="A31" s="1" t="s">
        <v>73</v>
      </c>
      <c r="B31" t="s">
        <v>17</v>
      </c>
      <c r="C31" t="s">
        <v>52</v>
      </c>
      <c r="E31" t="s">
        <v>261</v>
      </c>
      <c r="F31" t="s">
        <v>261</v>
      </c>
      <c r="G31" s="11">
        <v>1787.29</v>
      </c>
      <c r="H31" s="12" t="s">
        <v>261</v>
      </c>
      <c r="I31" s="6" t="s">
        <v>261</v>
      </c>
      <c r="J31" s="6" t="s">
        <v>261</v>
      </c>
      <c r="K31" s="6" t="s">
        <v>261</v>
      </c>
      <c r="M31" t="s">
        <v>261</v>
      </c>
      <c r="O31" t="s">
        <v>74</v>
      </c>
      <c r="Q31" t="str">
        <f>_xlfn.XLOOKUP(Table1[[#This Row],[subtipo]],$C$192:$C$228,$D$192:$D$228,"",0)</f>
        <v/>
      </c>
    </row>
    <row r="32" spans="1:17" x14ac:dyDescent="0.35">
      <c r="A32" s="1" t="s">
        <v>75</v>
      </c>
      <c r="B32" t="s">
        <v>17</v>
      </c>
      <c r="C32" t="s">
        <v>445</v>
      </c>
      <c r="F32" t="s">
        <v>272</v>
      </c>
      <c r="G32" s="11">
        <v>65344.7</v>
      </c>
      <c r="H32" s="12" t="s">
        <v>261</v>
      </c>
      <c r="I32" s="6" t="s">
        <v>258</v>
      </c>
      <c r="J32" s="7">
        <v>44927</v>
      </c>
      <c r="N32" t="s">
        <v>76</v>
      </c>
      <c r="O32" t="s">
        <v>77</v>
      </c>
      <c r="Q32" t="str">
        <f>_xlfn.XLOOKUP(Table1[[#This Row],[subtipo]],$C$192:$C$228,$D$192:$D$228,"",0)</f>
        <v/>
      </c>
    </row>
    <row r="33" spans="1:17" x14ac:dyDescent="0.35">
      <c r="A33" s="1" t="s">
        <v>78</v>
      </c>
      <c r="B33" t="s">
        <v>17</v>
      </c>
      <c r="C33" t="s">
        <v>443</v>
      </c>
      <c r="F33" t="s">
        <v>273</v>
      </c>
      <c r="G33" s="11">
        <v>8652.82</v>
      </c>
      <c r="H33" s="12" t="s">
        <v>261</v>
      </c>
      <c r="I33" s="6" t="s">
        <v>19</v>
      </c>
      <c r="K33" s="7">
        <v>43831</v>
      </c>
      <c r="N33" t="s">
        <v>24</v>
      </c>
      <c r="O33" t="s">
        <v>79</v>
      </c>
      <c r="Q33" t="str">
        <f>_xlfn.XLOOKUP(Table1[[#This Row],[subtipo]],$C$192:$C$228,$D$192:$D$228,"",0)</f>
        <v/>
      </c>
    </row>
    <row r="34" spans="1:17" x14ac:dyDescent="0.35">
      <c r="A34" s="1" t="s">
        <v>80</v>
      </c>
      <c r="B34" t="s">
        <v>17</v>
      </c>
      <c r="C34" t="s">
        <v>46</v>
      </c>
      <c r="F34" t="s">
        <v>274</v>
      </c>
      <c r="G34" s="11">
        <v>1325.77</v>
      </c>
      <c r="H34" s="12" t="s">
        <v>261</v>
      </c>
      <c r="I34" s="6" t="s">
        <v>356</v>
      </c>
      <c r="N34" t="s">
        <v>46</v>
      </c>
      <c r="O34" t="s">
        <v>81</v>
      </c>
      <c r="Q34" t="str">
        <f>_xlfn.XLOOKUP(Table1[[#This Row],[subtipo]],$C$192:$C$228,$D$192:$D$228,"",0)</f>
        <v/>
      </c>
    </row>
    <row r="35" spans="1:17" x14ac:dyDescent="0.35">
      <c r="A35" s="1" t="s">
        <v>82</v>
      </c>
      <c r="B35" t="s">
        <v>17</v>
      </c>
      <c r="C35" t="s">
        <v>46</v>
      </c>
      <c r="F35" t="s">
        <v>83</v>
      </c>
      <c r="G35" s="11">
        <v>752.18</v>
      </c>
      <c r="H35" s="12" t="s">
        <v>261</v>
      </c>
      <c r="I35" s="6" t="s">
        <v>19</v>
      </c>
      <c r="K35" s="7">
        <v>44562</v>
      </c>
      <c r="N35" t="s">
        <v>46</v>
      </c>
      <c r="O35" t="s">
        <v>83</v>
      </c>
      <c r="Q35" t="str">
        <f>_xlfn.XLOOKUP(Table1[[#This Row],[subtipo]],$C$192:$C$228,$D$192:$D$228,"",0)</f>
        <v/>
      </c>
    </row>
    <row r="36" spans="1:17" x14ac:dyDescent="0.35">
      <c r="A36" s="1" t="s">
        <v>84</v>
      </c>
      <c r="B36" t="s">
        <v>17</v>
      </c>
      <c r="C36" t="s">
        <v>445</v>
      </c>
      <c r="F36" t="s">
        <v>275</v>
      </c>
      <c r="G36" s="11">
        <v>2698.81</v>
      </c>
      <c r="H36" s="12" t="s">
        <v>261</v>
      </c>
      <c r="I36" s="6" t="s">
        <v>429</v>
      </c>
      <c r="N36" t="s">
        <v>76</v>
      </c>
      <c r="O36" t="s">
        <v>85</v>
      </c>
      <c r="Q36" t="str">
        <f>_xlfn.XLOOKUP(Table1[[#This Row],[subtipo]],$C$192:$C$228,$D$192:$D$228,"",0)</f>
        <v/>
      </c>
    </row>
    <row r="37" spans="1:17" x14ac:dyDescent="0.35">
      <c r="A37" s="1" t="s">
        <v>86</v>
      </c>
      <c r="B37" t="s">
        <v>17</v>
      </c>
      <c r="C37" t="s">
        <v>52</v>
      </c>
      <c r="F37" t="s">
        <v>276</v>
      </c>
      <c r="G37" s="11">
        <v>5422.58</v>
      </c>
      <c r="H37" s="12" t="s">
        <v>261</v>
      </c>
      <c r="I37" s="6" t="s">
        <v>356</v>
      </c>
      <c r="N37" t="s">
        <v>76</v>
      </c>
      <c r="O37" t="s">
        <v>77</v>
      </c>
      <c r="Q37" t="str">
        <f>_xlfn.XLOOKUP(Table1[[#This Row],[subtipo]],$C$192:$C$228,$D$192:$D$228,"",0)</f>
        <v/>
      </c>
    </row>
    <row r="38" spans="1:17" x14ac:dyDescent="0.35">
      <c r="A38" s="1" t="s">
        <v>87</v>
      </c>
      <c r="B38" t="s">
        <v>33</v>
      </c>
      <c r="C38" t="s">
        <v>33</v>
      </c>
      <c r="E38" t="s">
        <v>332</v>
      </c>
      <c r="F38" t="s">
        <v>333</v>
      </c>
      <c r="G38" s="11">
        <v>1485.96</v>
      </c>
      <c r="H38" s="12" t="s">
        <v>261</v>
      </c>
      <c r="M38" t="s">
        <v>261</v>
      </c>
      <c r="N38" t="s">
        <v>34</v>
      </c>
      <c r="O38" t="s">
        <v>33</v>
      </c>
      <c r="Q38" t="str">
        <f>_xlfn.XLOOKUP(Table1[[#This Row],[subtipo]],$C$192:$C$228,$D$192:$D$228,"",0)</f>
        <v/>
      </c>
    </row>
    <row r="39" spans="1:17" x14ac:dyDescent="0.35">
      <c r="A39" s="1" t="s">
        <v>88</v>
      </c>
      <c r="B39" t="s">
        <v>33</v>
      </c>
      <c r="C39" t="s">
        <v>33</v>
      </c>
      <c r="E39" t="s">
        <v>334</v>
      </c>
      <c r="F39" t="s">
        <v>335</v>
      </c>
      <c r="G39" s="11">
        <v>2371.38</v>
      </c>
      <c r="H39" s="12" t="s">
        <v>261</v>
      </c>
      <c r="M39" t="s">
        <v>261</v>
      </c>
      <c r="N39" t="s">
        <v>34</v>
      </c>
      <c r="O39" t="s">
        <v>33</v>
      </c>
      <c r="Q39" t="str">
        <f>_xlfn.XLOOKUP(Table1[[#This Row],[subtipo]],$C$192:$C$228,$D$192:$D$228,"",0)</f>
        <v/>
      </c>
    </row>
    <row r="40" spans="1:17" x14ac:dyDescent="0.35">
      <c r="A40" s="1" t="s">
        <v>89</v>
      </c>
      <c r="B40" t="s">
        <v>33</v>
      </c>
      <c r="C40" t="s">
        <v>33</v>
      </c>
      <c r="G40" s="11">
        <v>1689.72</v>
      </c>
      <c r="H40" s="12" t="s">
        <v>261</v>
      </c>
      <c r="I40" s="6" t="s">
        <v>336</v>
      </c>
      <c r="M40" t="s">
        <v>261</v>
      </c>
      <c r="N40" t="s">
        <v>34</v>
      </c>
      <c r="O40" t="s">
        <v>33</v>
      </c>
      <c r="Q40" t="str">
        <f>_xlfn.XLOOKUP(Table1[[#This Row],[subtipo]],$C$192:$C$228,$D$192:$D$228,"",0)</f>
        <v/>
      </c>
    </row>
    <row r="41" spans="1:17" x14ac:dyDescent="0.35">
      <c r="A41" s="1" t="s">
        <v>90</v>
      </c>
      <c r="B41" t="s">
        <v>27</v>
      </c>
      <c r="C41" t="s">
        <v>27</v>
      </c>
      <c r="E41" t="s">
        <v>373</v>
      </c>
      <c r="F41" t="s">
        <v>374</v>
      </c>
      <c r="G41" s="11">
        <v>31582.53</v>
      </c>
      <c r="H41" s="12">
        <v>416</v>
      </c>
      <c r="I41" s="6" t="s">
        <v>19</v>
      </c>
      <c r="J41" s="6" t="s">
        <v>261</v>
      </c>
      <c r="K41" s="7">
        <v>41518</v>
      </c>
      <c r="N41" t="s">
        <v>28</v>
      </c>
      <c r="O41" t="s">
        <v>28</v>
      </c>
      <c r="Q41" t="str">
        <f>_xlfn.XLOOKUP(Table1[[#This Row],[subtipo]],$C$192:$C$228,$D$192:$D$228,"",0)</f>
        <v/>
      </c>
    </row>
    <row r="42" spans="1:17" x14ac:dyDescent="0.35">
      <c r="A42" s="1" t="s">
        <v>91</v>
      </c>
      <c r="B42" t="s">
        <v>27</v>
      </c>
      <c r="C42" t="s">
        <v>27</v>
      </c>
      <c r="E42" t="s">
        <v>368</v>
      </c>
      <c r="F42" t="s">
        <v>375</v>
      </c>
      <c r="G42" s="11">
        <v>23527.56</v>
      </c>
      <c r="H42" s="12">
        <v>0</v>
      </c>
      <c r="I42" s="6" t="s">
        <v>19</v>
      </c>
      <c r="J42" s="6" t="s">
        <v>261</v>
      </c>
      <c r="K42" s="7">
        <v>45748</v>
      </c>
      <c r="N42" t="s">
        <v>28</v>
      </c>
      <c r="O42" t="s">
        <v>28</v>
      </c>
      <c r="Q42" t="str">
        <f>_xlfn.XLOOKUP(Table1[[#This Row],[subtipo]],$C$192:$C$228,$D$192:$D$228,"",0)</f>
        <v/>
      </c>
    </row>
    <row r="43" spans="1:17" x14ac:dyDescent="0.35">
      <c r="A43" s="1" t="s">
        <v>92</v>
      </c>
      <c r="B43" t="s">
        <v>27</v>
      </c>
      <c r="C43" t="s">
        <v>27</v>
      </c>
      <c r="E43" t="s">
        <v>368</v>
      </c>
      <c r="F43" t="s">
        <v>375</v>
      </c>
      <c r="G43" s="11">
        <v>23527.56</v>
      </c>
      <c r="H43" s="12">
        <v>328</v>
      </c>
      <c r="I43" s="6" t="s">
        <v>19</v>
      </c>
      <c r="J43" s="6" t="s">
        <v>261</v>
      </c>
      <c r="K43" s="7">
        <v>45778</v>
      </c>
      <c r="N43" t="s">
        <v>28</v>
      </c>
      <c r="O43" t="s">
        <v>28</v>
      </c>
      <c r="Q43" t="str">
        <f>_xlfn.XLOOKUP(Table1[[#This Row],[subtipo]],$C$192:$C$228,$D$192:$D$228,"",0)</f>
        <v/>
      </c>
    </row>
    <row r="44" spans="1:17" x14ac:dyDescent="0.35">
      <c r="A44" s="1" t="s">
        <v>93</v>
      </c>
      <c r="B44" t="s">
        <v>27</v>
      </c>
      <c r="C44" t="s">
        <v>27</v>
      </c>
      <c r="E44" t="s">
        <v>368</v>
      </c>
      <c r="F44" t="s">
        <v>376</v>
      </c>
      <c r="G44" s="11">
        <v>71979.31</v>
      </c>
      <c r="H44" s="12">
        <v>936</v>
      </c>
      <c r="I44" s="6" t="s">
        <v>19</v>
      </c>
      <c r="J44" s="6" t="s">
        <v>261</v>
      </c>
      <c r="K44" s="7">
        <v>44287</v>
      </c>
      <c r="N44" t="s">
        <v>28</v>
      </c>
      <c r="O44" t="s">
        <v>28</v>
      </c>
      <c r="Q44" t="str">
        <f>_xlfn.XLOOKUP(Table1[[#This Row],[subtipo]],$C$192:$C$228,$D$192:$D$228,"",0)</f>
        <v/>
      </c>
    </row>
    <row r="45" spans="1:17" x14ac:dyDescent="0.35">
      <c r="A45" s="1" t="s">
        <v>94</v>
      </c>
      <c r="B45" t="s">
        <v>27</v>
      </c>
      <c r="C45" t="s">
        <v>27</v>
      </c>
      <c r="E45" t="s">
        <v>368</v>
      </c>
      <c r="F45" t="s">
        <v>376</v>
      </c>
      <c r="G45" s="11">
        <v>71979.31</v>
      </c>
      <c r="H45" s="12">
        <v>0</v>
      </c>
      <c r="I45" s="6" t="s">
        <v>19</v>
      </c>
      <c r="J45" s="6" t="s">
        <v>261</v>
      </c>
      <c r="N45" t="s">
        <v>28</v>
      </c>
      <c r="O45" t="s">
        <v>28</v>
      </c>
      <c r="Q45" t="str">
        <f>_xlfn.XLOOKUP(Table1[[#This Row],[subtipo]],$C$192:$C$228,$D$192:$D$228,"",0)</f>
        <v/>
      </c>
    </row>
    <row r="46" spans="1:17" x14ac:dyDescent="0.35">
      <c r="A46" s="1" t="s">
        <v>95</v>
      </c>
      <c r="B46" t="s">
        <v>33</v>
      </c>
      <c r="C46" t="s">
        <v>33</v>
      </c>
      <c r="G46" s="11">
        <v>2317.2600000000002</v>
      </c>
      <c r="H46" s="12" t="s">
        <v>261</v>
      </c>
      <c r="I46" s="6" t="s">
        <v>258</v>
      </c>
      <c r="J46" s="7">
        <v>45658</v>
      </c>
      <c r="N46" t="s">
        <v>34</v>
      </c>
      <c r="O46" t="s">
        <v>35</v>
      </c>
      <c r="Q46" t="str">
        <f>_xlfn.XLOOKUP(Table1[[#This Row],[subtipo]],$C$192:$C$228,$D$192:$D$228,"",0)</f>
        <v/>
      </c>
    </row>
    <row r="47" spans="1:17" x14ac:dyDescent="0.35">
      <c r="A47" s="1" t="s">
        <v>96</v>
      </c>
      <c r="B47" t="s">
        <v>33</v>
      </c>
      <c r="C47" t="s">
        <v>33</v>
      </c>
      <c r="F47" s="2" t="s">
        <v>327</v>
      </c>
      <c r="G47" s="11">
        <v>1800.05</v>
      </c>
      <c r="H47" s="12" t="s">
        <v>261</v>
      </c>
      <c r="M47" t="s">
        <v>261</v>
      </c>
      <c r="N47" t="s">
        <v>34</v>
      </c>
      <c r="O47" t="s">
        <v>97</v>
      </c>
      <c r="Q47" t="str">
        <f>_xlfn.XLOOKUP(Table1[[#This Row],[subtipo]],$C$192:$C$228,$D$192:$D$228,"",0)</f>
        <v/>
      </c>
    </row>
    <row r="48" spans="1:17" x14ac:dyDescent="0.35">
      <c r="A48" s="1" t="s">
        <v>98</v>
      </c>
      <c r="B48" t="s">
        <v>33</v>
      </c>
      <c r="C48" t="s">
        <v>33</v>
      </c>
      <c r="F48" s="2" t="s">
        <v>327</v>
      </c>
      <c r="G48" s="11">
        <v>1534.08</v>
      </c>
      <c r="H48" s="12" t="s">
        <v>261</v>
      </c>
      <c r="M48" t="s">
        <v>261</v>
      </c>
      <c r="N48" t="s">
        <v>34</v>
      </c>
      <c r="O48" t="s">
        <v>74</v>
      </c>
      <c r="Q48" t="str">
        <f>_xlfn.XLOOKUP(Table1[[#This Row],[subtipo]],$C$192:$C$228,$D$192:$D$228,"",0)</f>
        <v/>
      </c>
    </row>
    <row r="49" spans="1:17" x14ac:dyDescent="0.35">
      <c r="A49" s="1" t="s">
        <v>99</v>
      </c>
      <c r="B49" t="s">
        <v>27</v>
      </c>
      <c r="C49" t="s">
        <v>27</v>
      </c>
      <c r="E49" t="s">
        <v>352</v>
      </c>
      <c r="F49" t="s">
        <v>377</v>
      </c>
      <c r="G49" s="11">
        <v>29450.42</v>
      </c>
      <c r="H49" s="12">
        <v>404</v>
      </c>
      <c r="I49" s="6" t="s">
        <v>19</v>
      </c>
      <c r="K49" s="7">
        <v>44409</v>
      </c>
      <c r="N49" t="s">
        <v>28</v>
      </c>
      <c r="O49" t="s">
        <v>28</v>
      </c>
      <c r="Q49" t="str">
        <f>_xlfn.XLOOKUP(Table1[[#This Row],[subtipo]],$C$192:$C$228,$D$192:$D$228,"",0)</f>
        <v/>
      </c>
    </row>
    <row r="50" spans="1:17" x14ac:dyDescent="0.35">
      <c r="A50" s="1" t="s">
        <v>100</v>
      </c>
      <c r="B50" t="s">
        <v>27</v>
      </c>
      <c r="C50" t="s">
        <v>27</v>
      </c>
      <c r="E50" t="s">
        <v>378</v>
      </c>
      <c r="F50" t="s">
        <v>379</v>
      </c>
      <c r="G50" s="11">
        <v>16298.9</v>
      </c>
      <c r="H50" s="12">
        <v>240</v>
      </c>
      <c r="I50" s="6" t="s">
        <v>430</v>
      </c>
      <c r="N50" t="s">
        <v>28</v>
      </c>
      <c r="O50" t="s">
        <v>28</v>
      </c>
      <c r="Q50" t="str">
        <f>_xlfn.XLOOKUP(Table1[[#This Row],[subtipo]],$C$192:$C$228,$D$192:$D$228,"",0)</f>
        <v/>
      </c>
    </row>
    <row r="51" spans="1:17" x14ac:dyDescent="0.35">
      <c r="A51" s="1" t="s">
        <v>101</v>
      </c>
      <c r="B51" t="s">
        <v>27</v>
      </c>
      <c r="C51" t="s">
        <v>27</v>
      </c>
      <c r="E51" t="s">
        <v>373</v>
      </c>
      <c r="F51" t="s">
        <v>380</v>
      </c>
      <c r="G51" s="11">
        <v>16088.72</v>
      </c>
      <c r="H51" s="12">
        <v>208</v>
      </c>
      <c r="I51" s="6" t="s">
        <v>19</v>
      </c>
      <c r="K51" s="7">
        <v>45231</v>
      </c>
      <c r="N51" t="s">
        <v>28</v>
      </c>
      <c r="O51" t="s">
        <v>28</v>
      </c>
      <c r="Q51" t="str">
        <f>_xlfn.XLOOKUP(Table1[[#This Row],[subtipo]],$C$192:$C$228,$D$192:$D$228,"",0)</f>
        <v/>
      </c>
    </row>
    <row r="52" spans="1:17" x14ac:dyDescent="0.35">
      <c r="A52" s="1" t="s">
        <v>102</v>
      </c>
      <c r="B52" t="s">
        <v>27</v>
      </c>
      <c r="C52" t="s">
        <v>27</v>
      </c>
      <c r="E52" t="s">
        <v>381</v>
      </c>
      <c r="F52" t="s">
        <v>382</v>
      </c>
      <c r="G52" s="11">
        <v>16721.11</v>
      </c>
      <c r="H52" s="12">
        <v>248</v>
      </c>
      <c r="I52" s="6" t="s">
        <v>19</v>
      </c>
      <c r="K52" s="7">
        <v>43862</v>
      </c>
      <c r="N52" t="s">
        <v>28</v>
      </c>
      <c r="O52" t="s">
        <v>28</v>
      </c>
      <c r="Q52" t="str">
        <f>_xlfn.XLOOKUP(Table1[[#This Row],[subtipo]],$C$192:$C$228,$D$192:$D$228,"",0)</f>
        <v/>
      </c>
    </row>
    <row r="53" spans="1:17" x14ac:dyDescent="0.35">
      <c r="A53" s="1" t="s">
        <v>103</v>
      </c>
      <c r="B53" t="s">
        <v>33</v>
      </c>
      <c r="C53" t="s">
        <v>33</v>
      </c>
      <c r="E53" t="s">
        <v>337</v>
      </c>
      <c r="F53" t="s">
        <v>338</v>
      </c>
      <c r="G53" s="11">
        <v>1412.79</v>
      </c>
      <c r="H53" s="12" t="s">
        <v>261</v>
      </c>
      <c r="I53" s="6" t="s">
        <v>258</v>
      </c>
      <c r="M53" t="s">
        <v>261</v>
      </c>
      <c r="N53" t="s">
        <v>34</v>
      </c>
      <c r="O53" t="s">
        <v>35</v>
      </c>
      <c r="Q53" t="str">
        <f>_xlfn.XLOOKUP(Table1[[#This Row],[subtipo]],$C$192:$C$228,$D$192:$D$228,"",0)</f>
        <v/>
      </c>
    </row>
    <row r="54" spans="1:17" x14ac:dyDescent="0.35">
      <c r="A54" s="1" t="s">
        <v>104</v>
      </c>
      <c r="B54" t="s">
        <v>17</v>
      </c>
      <c r="C54" t="s">
        <v>446</v>
      </c>
      <c r="F54" t="s">
        <v>277</v>
      </c>
      <c r="G54" s="11">
        <v>2041.14</v>
      </c>
      <c r="H54" s="12" t="s">
        <v>261</v>
      </c>
      <c r="I54" s="6" t="s">
        <v>356</v>
      </c>
      <c r="N54" t="s">
        <v>59</v>
      </c>
      <c r="O54" t="s">
        <v>97</v>
      </c>
      <c r="Q54" t="str">
        <f>_xlfn.XLOOKUP(Table1[[#This Row],[subtipo]],$C$192:$C$228,$D$192:$D$228,"",0)</f>
        <v/>
      </c>
    </row>
    <row r="55" spans="1:17" x14ac:dyDescent="0.35">
      <c r="A55" s="1" t="s">
        <v>105</v>
      </c>
      <c r="B55" t="s">
        <v>17</v>
      </c>
      <c r="C55" t="s">
        <v>443</v>
      </c>
      <c r="F55" t="s">
        <v>278</v>
      </c>
      <c r="G55" s="11">
        <v>9823</v>
      </c>
      <c r="H55" s="12" t="s">
        <v>261</v>
      </c>
      <c r="I55" s="6" t="s">
        <v>19</v>
      </c>
      <c r="K55" s="7">
        <v>43101</v>
      </c>
      <c r="N55" t="s">
        <v>24</v>
      </c>
      <c r="O55" t="s">
        <v>106</v>
      </c>
      <c r="Q55" t="str">
        <f>_xlfn.XLOOKUP(Table1[[#This Row],[subtipo]],$C$192:$C$228,$D$192:$D$228,"",0)</f>
        <v/>
      </c>
    </row>
    <row r="56" spans="1:17" x14ac:dyDescent="0.35">
      <c r="A56" s="1" t="s">
        <v>107</v>
      </c>
      <c r="B56" t="s">
        <v>27</v>
      </c>
      <c r="C56" t="s">
        <v>27</v>
      </c>
      <c r="E56" t="s">
        <v>366</v>
      </c>
      <c r="F56" t="s">
        <v>383</v>
      </c>
      <c r="G56" s="11">
        <v>9082.36</v>
      </c>
      <c r="H56" s="12">
        <v>128</v>
      </c>
      <c r="I56" s="6" t="s">
        <v>19</v>
      </c>
      <c r="J56" s="6" t="s">
        <v>261</v>
      </c>
      <c r="K56" s="7">
        <v>45413</v>
      </c>
      <c r="N56" t="s">
        <v>28</v>
      </c>
      <c r="O56" t="s">
        <v>28</v>
      </c>
      <c r="Q56" t="str">
        <f>_xlfn.XLOOKUP(Table1[[#This Row],[subtipo]],$C$192:$C$228,$D$192:$D$228,"",0)</f>
        <v/>
      </c>
    </row>
    <row r="57" spans="1:17" x14ac:dyDescent="0.35">
      <c r="A57" s="1" t="s">
        <v>108</v>
      </c>
      <c r="B57" t="s">
        <v>17</v>
      </c>
      <c r="C57" t="s">
        <v>447</v>
      </c>
      <c r="E57" t="s">
        <v>261</v>
      </c>
      <c r="F57" t="s">
        <v>261</v>
      </c>
      <c r="G57" s="11">
        <v>2257.3000000000002</v>
      </c>
      <c r="H57" s="12" t="s">
        <v>261</v>
      </c>
      <c r="I57" s="6" t="s">
        <v>261</v>
      </c>
      <c r="M57" t="s">
        <v>261</v>
      </c>
      <c r="N57" t="s">
        <v>20</v>
      </c>
      <c r="O57" t="s">
        <v>109</v>
      </c>
      <c r="Q57" t="str">
        <f>_xlfn.XLOOKUP(Table1[[#This Row],[subtipo]],$C$192:$C$228,$D$192:$D$228,"",0)</f>
        <v/>
      </c>
    </row>
    <row r="58" spans="1:17" x14ac:dyDescent="0.35">
      <c r="A58" s="1" t="s">
        <v>110</v>
      </c>
      <c r="B58" t="s">
        <v>17</v>
      </c>
      <c r="C58" t="s">
        <v>52</v>
      </c>
      <c r="F58" t="s">
        <v>280</v>
      </c>
      <c r="G58" s="11">
        <v>1977.53</v>
      </c>
      <c r="H58" s="12" t="s">
        <v>261</v>
      </c>
      <c r="I58" s="6" t="s">
        <v>279</v>
      </c>
      <c r="O58" t="s">
        <v>35</v>
      </c>
      <c r="Q58" t="str">
        <f>_xlfn.XLOOKUP(Table1[[#This Row],[subtipo]],$C$192:$C$228,$D$192:$D$228,"",0)</f>
        <v/>
      </c>
    </row>
    <row r="59" spans="1:17" x14ac:dyDescent="0.35">
      <c r="A59" s="1" t="s">
        <v>111</v>
      </c>
      <c r="B59" t="s">
        <v>17</v>
      </c>
      <c r="C59" t="s">
        <v>443</v>
      </c>
      <c r="F59" t="s">
        <v>281</v>
      </c>
      <c r="G59" s="11">
        <v>8656.36</v>
      </c>
      <c r="H59" s="12" t="s">
        <v>261</v>
      </c>
      <c r="I59" s="6" t="s">
        <v>356</v>
      </c>
      <c r="N59" t="s">
        <v>59</v>
      </c>
      <c r="O59" t="s">
        <v>58</v>
      </c>
      <c r="Q59" t="str">
        <f>_xlfn.XLOOKUP(Table1[[#This Row],[subtipo]],$C$192:$C$228,$D$192:$D$228,"",0)</f>
        <v/>
      </c>
    </row>
    <row r="60" spans="1:17" x14ac:dyDescent="0.35">
      <c r="A60" s="1" t="s">
        <v>112</v>
      </c>
      <c r="B60" t="s">
        <v>17</v>
      </c>
      <c r="C60" t="s">
        <v>42</v>
      </c>
      <c r="F60" t="s">
        <v>282</v>
      </c>
      <c r="G60" s="11">
        <v>9146.64</v>
      </c>
      <c r="H60" s="12" t="s">
        <v>261</v>
      </c>
      <c r="I60" s="6" t="s">
        <v>356</v>
      </c>
      <c r="N60" t="s">
        <v>43</v>
      </c>
      <c r="O60" t="s">
        <v>44</v>
      </c>
      <c r="Q60" t="str">
        <f>_xlfn.XLOOKUP(Table1[[#This Row],[subtipo]],$C$192:$C$228,$D$192:$D$228,"",0)</f>
        <v/>
      </c>
    </row>
    <row r="61" spans="1:17" x14ac:dyDescent="0.35">
      <c r="A61" s="1" t="s">
        <v>113</v>
      </c>
      <c r="B61" t="s">
        <v>33</v>
      </c>
      <c r="C61" t="s">
        <v>33</v>
      </c>
      <c r="G61" s="11">
        <v>5121.16</v>
      </c>
      <c r="H61" s="12" t="s">
        <v>261</v>
      </c>
      <c r="M61" t="s">
        <v>261</v>
      </c>
      <c r="N61" t="s">
        <v>34</v>
      </c>
      <c r="O61" t="s">
        <v>33</v>
      </c>
      <c r="Q61" t="str">
        <f>_xlfn.XLOOKUP(Table1[[#This Row],[subtipo]],$C$192:$C$228,$D$192:$D$228,"",0)</f>
        <v/>
      </c>
    </row>
    <row r="62" spans="1:17" x14ac:dyDescent="0.35">
      <c r="A62" s="1" t="s">
        <v>114</v>
      </c>
      <c r="B62" t="s">
        <v>17</v>
      </c>
      <c r="C62" t="s">
        <v>443</v>
      </c>
      <c r="F62" t="s">
        <v>281</v>
      </c>
      <c r="G62" s="11">
        <v>8633.82</v>
      </c>
      <c r="H62" s="12" t="s">
        <v>261</v>
      </c>
      <c r="I62" s="6" t="s">
        <v>356</v>
      </c>
      <c r="N62" t="s">
        <v>59</v>
      </c>
      <c r="O62" t="s">
        <v>58</v>
      </c>
      <c r="Q62" t="str">
        <f>_xlfn.XLOOKUP(Table1[[#This Row],[subtipo]],$C$192:$C$228,$D$192:$D$228,"",0)</f>
        <v/>
      </c>
    </row>
    <row r="63" spans="1:17" x14ac:dyDescent="0.35">
      <c r="A63" s="1" t="s">
        <v>115</v>
      </c>
      <c r="B63" t="s">
        <v>33</v>
      </c>
      <c r="C63" t="s">
        <v>33</v>
      </c>
      <c r="G63" s="11">
        <v>667.04</v>
      </c>
      <c r="H63" s="12" t="s">
        <v>261</v>
      </c>
      <c r="I63" s="6" t="s">
        <v>336</v>
      </c>
      <c r="M63" t="s">
        <v>261</v>
      </c>
      <c r="N63" t="s">
        <v>34</v>
      </c>
      <c r="O63" t="s">
        <v>33</v>
      </c>
      <c r="Q63" t="str">
        <f>_xlfn.XLOOKUP(Table1[[#This Row],[subtipo]],$C$192:$C$228,$D$192:$D$228,"",0)</f>
        <v/>
      </c>
    </row>
    <row r="64" spans="1:17" x14ac:dyDescent="0.35">
      <c r="A64" s="1" t="s">
        <v>116</v>
      </c>
      <c r="B64" t="s">
        <v>17</v>
      </c>
      <c r="C64" t="s">
        <v>447</v>
      </c>
      <c r="E64" t="s">
        <v>261</v>
      </c>
      <c r="F64" t="s">
        <v>261</v>
      </c>
      <c r="G64" s="11">
        <v>412.31</v>
      </c>
      <c r="H64" s="12" t="s">
        <v>261</v>
      </c>
      <c r="I64" s="6" t="s">
        <v>261</v>
      </c>
      <c r="M64" t="s">
        <v>261</v>
      </c>
      <c r="N64" t="s">
        <v>20</v>
      </c>
      <c r="O64" t="s">
        <v>117</v>
      </c>
      <c r="Q64" t="str">
        <f>_xlfn.XLOOKUP(Table1[[#This Row],[subtipo]],$C$192:$C$228,$D$192:$D$228,"",0)</f>
        <v/>
      </c>
    </row>
    <row r="65" spans="1:17" x14ac:dyDescent="0.35">
      <c r="A65" s="1" t="s">
        <v>118</v>
      </c>
      <c r="B65" t="s">
        <v>33</v>
      </c>
      <c r="C65" t="s">
        <v>33</v>
      </c>
      <c r="G65" s="11">
        <v>4364.1899999999996</v>
      </c>
      <c r="H65" s="12" t="s">
        <v>261</v>
      </c>
      <c r="I65" s="6" t="s">
        <v>336</v>
      </c>
      <c r="M65" t="s">
        <v>261</v>
      </c>
      <c r="N65" t="s">
        <v>34</v>
      </c>
      <c r="O65" t="s">
        <v>35</v>
      </c>
      <c r="Q65" t="str">
        <f>_xlfn.XLOOKUP(Table1[[#This Row],[subtipo]],$C$192:$C$228,$D$192:$D$228,"",0)</f>
        <v/>
      </c>
    </row>
    <row r="66" spans="1:17" x14ac:dyDescent="0.35">
      <c r="A66" s="1" t="s">
        <v>119</v>
      </c>
      <c r="B66" t="s">
        <v>17</v>
      </c>
      <c r="C66" t="s">
        <v>42</v>
      </c>
      <c r="F66" t="s">
        <v>283</v>
      </c>
      <c r="G66" s="11">
        <v>7258.71</v>
      </c>
      <c r="H66" s="12" t="s">
        <v>261</v>
      </c>
      <c r="I66" s="6" t="s">
        <v>356</v>
      </c>
      <c r="N66" t="s">
        <v>43</v>
      </c>
      <c r="O66" t="s">
        <v>120</v>
      </c>
      <c r="Q66" t="str">
        <f>_xlfn.XLOOKUP(Table1[[#This Row],[subtipo]],$C$192:$C$228,$D$192:$D$228,"",0)</f>
        <v/>
      </c>
    </row>
    <row r="67" spans="1:17" x14ac:dyDescent="0.35">
      <c r="A67" s="1" t="s">
        <v>121</v>
      </c>
      <c r="B67" t="s">
        <v>27</v>
      </c>
      <c r="C67" t="s">
        <v>27</v>
      </c>
      <c r="E67" t="s">
        <v>438</v>
      </c>
      <c r="F67" t="s">
        <v>439</v>
      </c>
      <c r="G67" s="11">
        <v>14201</v>
      </c>
      <c r="H67" s="12">
        <v>224</v>
      </c>
      <c r="I67" s="6" t="s">
        <v>261</v>
      </c>
      <c r="M67" t="s">
        <v>261</v>
      </c>
      <c r="N67" t="s">
        <v>28</v>
      </c>
      <c r="O67" t="s">
        <v>28</v>
      </c>
      <c r="Q67" t="str">
        <f>_xlfn.XLOOKUP(Table1[[#This Row],[subtipo]],$C$192:$C$228,$D$192:$D$228,"",0)</f>
        <v/>
      </c>
    </row>
    <row r="68" spans="1:17" x14ac:dyDescent="0.35">
      <c r="A68" s="1" t="s">
        <v>122</v>
      </c>
      <c r="B68" t="s">
        <v>27</v>
      </c>
      <c r="C68" t="s">
        <v>27</v>
      </c>
      <c r="E68" t="s">
        <v>373</v>
      </c>
      <c r="F68" t="s">
        <v>384</v>
      </c>
      <c r="G68" s="11">
        <v>50815.58</v>
      </c>
      <c r="H68" s="12">
        <v>752</v>
      </c>
      <c r="I68" s="6" t="s">
        <v>356</v>
      </c>
      <c r="J68" s="6" t="s">
        <v>261</v>
      </c>
      <c r="K68" s="6" t="s">
        <v>261</v>
      </c>
      <c r="N68" t="s">
        <v>28</v>
      </c>
      <c r="O68" t="s">
        <v>28</v>
      </c>
      <c r="Q68" t="str">
        <f>_xlfn.XLOOKUP(Table1[[#This Row],[subtipo]],$C$192:$C$228,$D$192:$D$228,"",0)</f>
        <v/>
      </c>
    </row>
    <row r="69" spans="1:17" x14ac:dyDescent="0.35">
      <c r="A69" s="1" t="s">
        <v>123</v>
      </c>
      <c r="B69" t="s">
        <v>17</v>
      </c>
      <c r="C69" t="s">
        <v>42</v>
      </c>
      <c r="F69" t="s">
        <v>284</v>
      </c>
      <c r="G69" s="4">
        <v>134483.94</v>
      </c>
      <c r="H69" s="12" t="s">
        <v>261</v>
      </c>
      <c r="I69" s="6" t="s">
        <v>258</v>
      </c>
      <c r="J69" s="7">
        <v>45292</v>
      </c>
      <c r="N69" t="s">
        <v>43</v>
      </c>
      <c r="O69" t="s">
        <v>44</v>
      </c>
      <c r="Q69" t="str">
        <f>_xlfn.XLOOKUP(Table1[[#This Row],[subtipo]],$C$192:$C$228,$D$192:$D$228,"",0)</f>
        <v/>
      </c>
    </row>
    <row r="70" spans="1:17" x14ac:dyDescent="0.35">
      <c r="A70" s="1" t="s">
        <v>124</v>
      </c>
      <c r="B70" t="s">
        <v>27</v>
      </c>
      <c r="C70" t="s">
        <v>27</v>
      </c>
      <c r="E70" t="s">
        <v>385</v>
      </c>
      <c r="F70" t="s">
        <v>386</v>
      </c>
      <c r="G70" s="11">
        <v>44877.4</v>
      </c>
      <c r="H70" s="12">
        <v>656</v>
      </c>
      <c r="I70" s="6" t="s">
        <v>430</v>
      </c>
      <c r="J70" s="6" t="s">
        <v>261</v>
      </c>
      <c r="N70" t="s">
        <v>28</v>
      </c>
      <c r="O70" t="s">
        <v>28</v>
      </c>
      <c r="Q70" t="str">
        <f>_xlfn.XLOOKUP(Table1[[#This Row],[subtipo]],$C$192:$C$228,$D$192:$D$228,"",0)</f>
        <v/>
      </c>
    </row>
    <row r="71" spans="1:17" x14ac:dyDescent="0.35">
      <c r="A71" s="1" t="s">
        <v>125</v>
      </c>
      <c r="B71" t="s">
        <v>17</v>
      </c>
      <c r="C71" t="s">
        <v>448</v>
      </c>
      <c r="F71" t="s">
        <v>285</v>
      </c>
      <c r="G71" s="11">
        <v>9188.9599999999991</v>
      </c>
      <c r="H71" s="12" t="s">
        <v>261</v>
      </c>
      <c r="I71" s="6" t="s">
        <v>258</v>
      </c>
      <c r="J71" s="7">
        <v>45658</v>
      </c>
      <c r="N71" t="s">
        <v>20</v>
      </c>
      <c r="O71" t="s">
        <v>21</v>
      </c>
      <c r="Q71" t="str">
        <f>_xlfn.XLOOKUP(Table1[[#This Row],[subtipo]],$C$192:$C$228,$D$192:$D$228,"",0)</f>
        <v/>
      </c>
    </row>
    <row r="72" spans="1:17" x14ac:dyDescent="0.35">
      <c r="A72" s="1" t="s">
        <v>435</v>
      </c>
      <c r="B72" t="s">
        <v>27</v>
      </c>
      <c r="C72" t="s">
        <v>27</v>
      </c>
      <c r="E72" t="s">
        <v>366</v>
      </c>
      <c r="F72" t="s">
        <v>436</v>
      </c>
      <c r="G72" s="11">
        <v>36633.449999999997</v>
      </c>
      <c r="H72" s="12">
        <v>600</v>
      </c>
      <c r="I72" s="6" t="s">
        <v>356</v>
      </c>
      <c r="N72" t="s">
        <v>28</v>
      </c>
      <c r="O72" t="s">
        <v>28</v>
      </c>
      <c r="Q72" t="str">
        <f>_xlfn.XLOOKUP(Table1[[#This Row],[subtipo]],$C$192:$C$228,$D$192:$D$228,"",0)</f>
        <v/>
      </c>
    </row>
    <row r="73" spans="1:17" x14ac:dyDescent="0.35">
      <c r="A73" s="1" t="s">
        <v>126</v>
      </c>
      <c r="B73" t="s">
        <v>27</v>
      </c>
      <c r="C73" t="s">
        <v>27</v>
      </c>
      <c r="E73" t="s">
        <v>387</v>
      </c>
      <c r="F73" t="s">
        <v>388</v>
      </c>
      <c r="G73" s="11">
        <v>23704.06</v>
      </c>
      <c r="H73" s="12">
        <v>336</v>
      </c>
      <c r="I73" s="6" t="s">
        <v>19</v>
      </c>
      <c r="J73" s="6" t="s">
        <v>261</v>
      </c>
      <c r="K73" s="7">
        <v>44958</v>
      </c>
      <c r="O73" t="s">
        <v>127</v>
      </c>
      <c r="Q73" t="str">
        <f>_xlfn.XLOOKUP(Table1[[#This Row],[subtipo]],$C$192:$C$228,$D$192:$D$228,"",0)</f>
        <v/>
      </c>
    </row>
    <row r="74" spans="1:17" x14ac:dyDescent="0.35">
      <c r="A74" s="1" t="s">
        <v>128</v>
      </c>
      <c r="B74" t="s">
        <v>27</v>
      </c>
      <c r="C74" t="s">
        <v>27</v>
      </c>
      <c r="E74" t="s">
        <v>378</v>
      </c>
      <c r="F74" t="s">
        <v>436</v>
      </c>
      <c r="G74" s="11">
        <v>22719.85</v>
      </c>
      <c r="H74" s="12">
        <v>352</v>
      </c>
      <c r="I74" s="6" t="s">
        <v>356</v>
      </c>
      <c r="J74" s="6" t="s">
        <v>261</v>
      </c>
      <c r="M74" t="s">
        <v>389</v>
      </c>
      <c r="N74" t="s">
        <v>28</v>
      </c>
      <c r="O74" t="s">
        <v>28</v>
      </c>
      <c r="Q74" t="str">
        <f>_xlfn.XLOOKUP(Table1[[#This Row],[subtipo]],$C$192:$C$228,$D$192:$D$228,"",0)</f>
        <v/>
      </c>
    </row>
    <row r="75" spans="1:17" x14ac:dyDescent="0.35">
      <c r="A75" s="1" t="s">
        <v>129</v>
      </c>
      <c r="B75" t="s">
        <v>33</v>
      </c>
      <c r="C75" t="s">
        <v>33</v>
      </c>
      <c r="G75" s="11">
        <v>11310.92</v>
      </c>
      <c r="H75" s="12" t="s">
        <v>261</v>
      </c>
      <c r="I75" s="6" t="s">
        <v>429</v>
      </c>
      <c r="M75" t="s">
        <v>261</v>
      </c>
      <c r="N75" t="s">
        <v>34</v>
      </c>
      <c r="O75" t="s">
        <v>130</v>
      </c>
      <c r="Q75" t="str">
        <f>_xlfn.XLOOKUP(Table1[[#This Row],[subtipo]],$C$192:$C$228,$D$192:$D$228,"",0)</f>
        <v/>
      </c>
    </row>
    <row r="76" spans="1:17" x14ac:dyDescent="0.35">
      <c r="A76" s="1" t="s">
        <v>131</v>
      </c>
      <c r="B76" t="s">
        <v>27</v>
      </c>
      <c r="C76" t="s">
        <v>27</v>
      </c>
      <c r="E76" t="s">
        <v>390</v>
      </c>
      <c r="F76" t="s">
        <v>391</v>
      </c>
      <c r="G76" s="11">
        <v>121447.47</v>
      </c>
      <c r="H76" s="12">
        <v>1520</v>
      </c>
      <c r="I76" s="6" t="s">
        <v>356</v>
      </c>
      <c r="M76" t="s">
        <v>389</v>
      </c>
      <c r="N76" t="s">
        <v>28</v>
      </c>
      <c r="O76" t="s">
        <v>28</v>
      </c>
      <c r="Q76" t="str">
        <f>_xlfn.XLOOKUP(Table1[[#This Row],[subtipo]],$C$192:$C$228,$D$192:$D$228,"",0)</f>
        <v/>
      </c>
    </row>
    <row r="77" spans="1:17" x14ac:dyDescent="0.35">
      <c r="A77" s="1" t="s">
        <v>132</v>
      </c>
      <c r="B77" t="s">
        <v>33</v>
      </c>
      <c r="C77" t="s">
        <v>33</v>
      </c>
      <c r="G77" s="11">
        <v>30029.1</v>
      </c>
      <c r="H77" s="12" t="s">
        <v>261</v>
      </c>
      <c r="I77" s="6" t="s">
        <v>336</v>
      </c>
      <c r="M77" t="s">
        <v>261</v>
      </c>
      <c r="N77" t="s">
        <v>34</v>
      </c>
      <c r="O77" t="s">
        <v>33</v>
      </c>
      <c r="Q77" t="str">
        <f>_xlfn.XLOOKUP(Table1[[#This Row],[subtipo]],$C$192:$C$228,$D$192:$D$228,"",0)</f>
        <v/>
      </c>
    </row>
    <row r="78" spans="1:17" x14ac:dyDescent="0.35">
      <c r="A78" s="1" t="s">
        <v>133</v>
      </c>
      <c r="B78" t="s">
        <v>17</v>
      </c>
      <c r="C78" t="s">
        <v>443</v>
      </c>
      <c r="F78" t="s">
        <v>286</v>
      </c>
      <c r="G78" s="11">
        <v>9321.9599999999991</v>
      </c>
      <c r="H78" s="12" t="s">
        <v>261</v>
      </c>
      <c r="I78" s="6" t="s">
        <v>19</v>
      </c>
      <c r="K78" s="7">
        <v>43831</v>
      </c>
      <c r="N78" t="s">
        <v>59</v>
      </c>
      <c r="O78" t="s">
        <v>134</v>
      </c>
      <c r="Q78" t="str">
        <f>_xlfn.XLOOKUP(Table1[[#This Row],[subtipo]],$C$192:$C$228,$D$192:$D$228,"",0)</f>
        <v/>
      </c>
    </row>
    <row r="79" spans="1:17" x14ac:dyDescent="0.35">
      <c r="A79" s="1" t="s">
        <v>135</v>
      </c>
      <c r="B79" t="s">
        <v>33</v>
      </c>
      <c r="C79" t="s">
        <v>33</v>
      </c>
      <c r="E79" t="s">
        <v>328</v>
      </c>
      <c r="F79" t="s">
        <v>339</v>
      </c>
      <c r="G79" s="11">
        <v>2167.66</v>
      </c>
      <c r="H79" s="12" t="s">
        <v>261</v>
      </c>
      <c r="I79" s="6" t="s">
        <v>19</v>
      </c>
      <c r="K79" s="7">
        <v>44652</v>
      </c>
      <c r="M79" t="s">
        <v>261</v>
      </c>
      <c r="N79" t="s">
        <v>34</v>
      </c>
      <c r="O79" t="s">
        <v>35</v>
      </c>
      <c r="Q79" t="str">
        <f>_xlfn.XLOOKUP(Table1[[#This Row],[subtipo]],$C$192:$C$228,$D$192:$D$228,"",0)</f>
        <v/>
      </c>
    </row>
    <row r="80" spans="1:17" x14ac:dyDescent="0.35">
      <c r="A80" s="1" t="s">
        <v>136</v>
      </c>
      <c r="B80" t="s">
        <v>27</v>
      </c>
      <c r="C80" t="s">
        <v>27</v>
      </c>
      <c r="E80" t="s">
        <v>392</v>
      </c>
      <c r="F80" t="s">
        <v>393</v>
      </c>
      <c r="G80" s="11">
        <v>38656.58</v>
      </c>
      <c r="H80" s="12">
        <v>528</v>
      </c>
      <c r="I80" s="6" t="s">
        <v>19</v>
      </c>
      <c r="K80" s="6" t="s">
        <v>261</v>
      </c>
      <c r="N80" t="s">
        <v>28</v>
      </c>
      <c r="O80" t="s">
        <v>28</v>
      </c>
      <c r="Q80" t="str">
        <f>_xlfn.XLOOKUP(Table1[[#This Row],[subtipo]],$C$192:$C$228,$D$192:$D$228,"",0)</f>
        <v/>
      </c>
    </row>
    <row r="81" spans="1:17" x14ac:dyDescent="0.35">
      <c r="A81" s="1" t="s">
        <v>137</v>
      </c>
      <c r="B81" t="s">
        <v>33</v>
      </c>
      <c r="C81" t="s">
        <v>33</v>
      </c>
      <c r="E81" t="s">
        <v>340</v>
      </c>
      <c r="F81" t="s">
        <v>341</v>
      </c>
      <c r="G81" s="11">
        <v>1211.98</v>
      </c>
      <c r="H81" s="12" t="s">
        <v>261</v>
      </c>
      <c r="I81" s="6" t="s">
        <v>258</v>
      </c>
      <c r="M81" t="s">
        <v>261</v>
      </c>
      <c r="N81" t="s">
        <v>34</v>
      </c>
      <c r="O81" t="s">
        <v>35</v>
      </c>
      <c r="Q81" t="str">
        <f>_xlfn.XLOOKUP(Table1[[#This Row],[subtipo]],$C$192:$C$228,$D$192:$D$228,"",0)</f>
        <v/>
      </c>
    </row>
    <row r="82" spans="1:17" x14ac:dyDescent="0.35">
      <c r="A82" s="1" t="s">
        <v>138</v>
      </c>
      <c r="B82" t="s">
        <v>27</v>
      </c>
      <c r="C82" t="s">
        <v>27</v>
      </c>
      <c r="E82" t="s">
        <v>387</v>
      </c>
      <c r="F82" t="s">
        <v>394</v>
      </c>
      <c r="G82" s="11">
        <v>47738.52</v>
      </c>
      <c r="H82" s="12">
        <v>656</v>
      </c>
      <c r="I82" s="6" t="s">
        <v>430</v>
      </c>
      <c r="J82" s="6" t="s">
        <v>261</v>
      </c>
      <c r="K82" s="6" t="s">
        <v>261</v>
      </c>
      <c r="N82" t="s">
        <v>28</v>
      </c>
      <c r="O82" t="s">
        <v>28</v>
      </c>
      <c r="Q82" t="str">
        <f>_xlfn.XLOOKUP(Table1[[#This Row],[subtipo]],$C$192:$C$228,$D$192:$D$228,"",0)</f>
        <v/>
      </c>
    </row>
    <row r="83" spans="1:17" x14ac:dyDescent="0.35">
      <c r="A83" s="1" t="s">
        <v>139</v>
      </c>
      <c r="B83" t="s">
        <v>27</v>
      </c>
      <c r="C83" t="s">
        <v>27</v>
      </c>
      <c r="E83" t="s">
        <v>392</v>
      </c>
      <c r="F83" t="s">
        <v>395</v>
      </c>
      <c r="G83" s="11">
        <v>75736.179999999993</v>
      </c>
      <c r="H83" s="12">
        <v>1008</v>
      </c>
      <c r="I83" s="6" t="s">
        <v>19</v>
      </c>
      <c r="J83" s="6" t="s">
        <v>261</v>
      </c>
      <c r="K83" s="6" t="s">
        <v>261</v>
      </c>
      <c r="N83" t="s">
        <v>28</v>
      </c>
      <c r="O83" t="s">
        <v>28</v>
      </c>
      <c r="Q83" t="str">
        <f>_xlfn.XLOOKUP(Table1[[#This Row],[subtipo]],$C$192:$C$228,$D$192:$D$228,"",0)</f>
        <v/>
      </c>
    </row>
    <row r="84" spans="1:17" x14ac:dyDescent="0.35">
      <c r="A84" s="1" t="s">
        <v>140</v>
      </c>
      <c r="B84" t="s">
        <v>17</v>
      </c>
      <c r="C84" t="s">
        <v>42</v>
      </c>
      <c r="F84" t="s">
        <v>287</v>
      </c>
      <c r="G84" s="11">
        <v>586.35</v>
      </c>
      <c r="H84" s="12" t="s">
        <v>261</v>
      </c>
      <c r="I84" s="6" t="s">
        <v>19</v>
      </c>
      <c r="K84" s="7">
        <v>44197</v>
      </c>
      <c r="M84" t="s">
        <v>288</v>
      </c>
      <c r="N84" t="s">
        <v>43</v>
      </c>
      <c r="O84" t="s">
        <v>44</v>
      </c>
      <c r="Q84" t="str">
        <f>_xlfn.XLOOKUP(Table1[[#This Row],[subtipo]],$C$192:$C$228,$D$192:$D$228,"",0)</f>
        <v/>
      </c>
    </row>
    <row r="85" spans="1:17" x14ac:dyDescent="0.35">
      <c r="A85" s="1" t="s">
        <v>141</v>
      </c>
      <c r="B85" t="s">
        <v>17</v>
      </c>
      <c r="C85" t="s">
        <v>52</v>
      </c>
      <c r="F85" t="s">
        <v>289</v>
      </c>
      <c r="G85" s="11">
        <v>599.9</v>
      </c>
      <c r="H85" s="12" t="s">
        <v>261</v>
      </c>
      <c r="I85" s="6" t="s">
        <v>258</v>
      </c>
      <c r="J85" s="7">
        <v>45658</v>
      </c>
      <c r="N85" t="s">
        <v>142</v>
      </c>
      <c r="O85" t="s">
        <v>74</v>
      </c>
      <c r="Q85" t="str">
        <f>_xlfn.XLOOKUP(Table1[[#This Row],[subtipo]],$C$192:$C$228,$D$192:$D$228,"",0)</f>
        <v/>
      </c>
    </row>
    <row r="86" spans="1:17" x14ac:dyDescent="0.35">
      <c r="A86" s="1" t="s">
        <v>143</v>
      </c>
      <c r="B86" t="s">
        <v>17</v>
      </c>
      <c r="C86" t="s">
        <v>446</v>
      </c>
      <c r="F86" t="s">
        <v>290</v>
      </c>
      <c r="G86" s="11">
        <v>8446.9599999999991</v>
      </c>
      <c r="H86" s="12" t="s">
        <v>261</v>
      </c>
      <c r="I86" s="6" t="s">
        <v>19</v>
      </c>
      <c r="K86" s="7">
        <v>43831</v>
      </c>
      <c r="N86" t="s">
        <v>145</v>
      </c>
      <c r="O86" t="s">
        <v>144</v>
      </c>
      <c r="Q86" t="str">
        <f>_xlfn.XLOOKUP(Table1[[#This Row],[subtipo]],$C$192:$C$228,$D$192:$D$228,"",0)</f>
        <v/>
      </c>
    </row>
    <row r="87" spans="1:17" x14ac:dyDescent="0.35">
      <c r="A87" s="1" t="s">
        <v>146</v>
      </c>
      <c r="B87" t="s">
        <v>33</v>
      </c>
      <c r="C87" t="s">
        <v>33</v>
      </c>
      <c r="G87" s="11">
        <v>1188.0999999999999</v>
      </c>
      <c r="H87" s="12" t="s">
        <v>261</v>
      </c>
      <c r="I87" s="6" t="s">
        <v>429</v>
      </c>
      <c r="M87" t="s">
        <v>261</v>
      </c>
      <c r="N87" t="s">
        <v>34</v>
      </c>
      <c r="O87" t="s">
        <v>35</v>
      </c>
      <c r="Q87" t="str">
        <f>_xlfn.XLOOKUP(Table1[[#This Row],[subtipo]],$C$192:$C$228,$D$192:$D$228,"",0)</f>
        <v/>
      </c>
    </row>
    <row r="88" spans="1:17" x14ac:dyDescent="0.35">
      <c r="A88" s="1" t="s">
        <v>147</v>
      </c>
      <c r="B88" t="s">
        <v>17</v>
      </c>
      <c r="C88" t="s">
        <v>42</v>
      </c>
      <c r="F88" t="s">
        <v>291</v>
      </c>
      <c r="G88" s="11">
        <v>1000.25</v>
      </c>
      <c r="H88" s="12" t="s">
        <v>261</v>
      </c>
      <c r="I88" s="6" t="s">
        <v>429</v>
      </c>
      <c r="M88" t="s">
        <v>292</v>
      </c>
      <c r="N88" t="s">
        <v>43</v>
      </c>
      <c r="O88" t="s">
        <v>44</v>
      </c>
      <c r="Q88" t="str">
        <f>_xlfn.XLOOKUP(Table1[[#This Row],[subtipo]],$C$192:$C$228,$D$192:$D$228,"",0)</f>
        <v/>
      </c>
    </row>
    <row r="89" spans="1:17" x14ac:dyDescent="0.35">
      <c r="A89" s="1" t="s">
        <v>148</v>
      </c>
      <c r="B89" t="s">
        <v>33</v>
      </c>
      <c r="C89" t="s">
        <v>33</v>
      </c>
      <c r="E89" t="s">
        <v>342</v>
      </c>
      <c r="F89" t="s">
        <v>343</v>
      </c>
      <c r="G89" s="11">
        <v>2145.84</v>
      </c>
      <c r="H89" s="12" t="s">
        <v>261</v>
      </c>
      <c r="M89" t="s">
        <v>261</v>
      </c>
      <c r="N89" t="s">
        <v>34</v>
      </c>
      <c r="O89" t="s">
        <v>35</v>
      </c>
      <c r="Q89" t="str">
        <f>_xlfn.XLOOKUP(Table1[[#This Row],[subtipo]],$C$192:$C$228,$D$192:$D$228,"",0)</f>
        <v/>
      </c>
    </row>
    <row r="90" spans="1:17" x14ac:dyDescent="0.35">
      <c r="A90" s="1" t="s">
        <v>149</v>
      </c>
      <c r="B90" t="s">
        <v>33</v>
      </c>
      <c r="C90" t="s">
        <v>33</v>
      </c>
      <c r="E90" t="s">
        <v>342</v>
      </c>
      <c r="F90" t="s">
        <v>343</v>
      </c>
      <c r="G90" s="11">
        <v>2965.55</v>
      </c>
      <c r="H90" s="12" t="s">
        <v>261</v>
      </c>
      <c r="I90" s="6" t="s">
        <v>19</v>
      </c>
      <c r="K90" s="7">
        <v>44562</v>
      </c>
      <c r="M90" t="s">
        <v>261</v>
      </c>
      <c r="N90" t="s">
        <v>34</v>
      </c>
      <c r="O90" t="s">
        <v>35</v>
      </c>
      <c r="Q90" t="str">
        <f>_xlfn.XLOOKUP(Table1[[#This Row],[subtipo]],$C$192:$C$228,$D$192:$D$228,"",0)</f>
        <v/>
      </c>
    </row>
    <row r="91" spans="1:17" x14ac:dyDescent="0.35">
      <c r="A91" s="1" t="s">
        <v>150</v>
      </c>
      <c r="B91" t="s">
        <v>27</v>
      </c>
      <c r="C91" t="s">
        <v>27</v>
      </c>
      <c r="E91" t="s">
        <v>368</v>
      </c>
      <c r="F91" t="s">
        <v>396</v>
      </c>
      <c r="G91" s="11">
        <v>35073.199999999997</v>
      </c>
      <c r="H91" s="12">
        <v>464</v>
      </c>
      <c r="I91" s="6" t="s">
        <v>19</v>
      </c>
      <c r="J91" s="6" t="s">
        <v>261</v>
      </c>
      <c r="K91" s="7">
        <v>43497</v>
      </c>
      <c r="N91" t="s">
        <v>28</v>
      </c>
      <c r="O91" t="s">
        <v>28</v>
      </c>
      <c r="Q91" t="str">
        <f>_xlfn.XLOOKUP(Table1[[#This Row],[subtipo]],$C$192:$C$228,$D$192:$D$228,"",0)</f>
        <v/>
      </c>
    </row>
    <row r="92" spans="1:17" x14ac:dyDescent="0.35">
      <c r="A92" s="1" t="s">
        <v>151</v>
      </c>
      <c r="B92" t="s">
        <v>33</v>
      </c>
      <c r="C92" t="s">
        <v>33</v>
      </c>
      <c r="E92" t="s">
        <v>342</v>
      </c>
      <c r="F92" t="s">
        <v>344</v>
      </c>
      <c r="G92" s="11">
        <v>2562</v>
      </c>
      <c r="H92" s="12" t="s">
        <v>261</v>
      </c>
      <c r="M92" t="s">
        <v>261</v>
      </c>
      <c r="N92" t="s">
        <v>34</v>
      </c>
      <c r="O92" t="s">
        <v>44</v>
      </c>
      <c r="Q92" t="str">
        <f>_xlfn.XLOOKUP(Table1[[#This Row],[subtipo]],$C$192:$C$228,$D$192:$D$228,"",0)</f>
        <v/>
      </c>
    </row>
    <row r="93" spans="1:17" x14ac:dyDescent="0.35">
      <c r="A93" s="1" t="s">
        <v>152</v>
      </c>
      <c r="B93" t="s">
        <v>17</v>
      </c>
      <c r="C93" t="s">
        <v>42</v>
      </c>
      <c r="F93" t="s">
        <v>293</v>
      </c>
      <c r="G93" s="11">
        <v>1184.08</v>
      </c>
      <c r="H93" s="12" t="s">
        <v>261</v>
      </c>
      <c r="I93" s="6" t="s">
        <v>19</v>
      </c>
      <c r="J93" s="7">
        <v>45658</v>
      </c>
      <c r="K93" s="7">
        <v>45658</v>
      </c>
      <c r="N93" t="s">
        <v>43</v>
      </c>
      <c r="O93" t="s">
        <v>35</v>
      </c>
      <c r="Q93" t="str">
        <f>_xlfn.XLOOKUP(Table1[[#This Row],[subtipo]],$C$192:$C$228,$D$192:$D$228,"",0)</f>
        <v/>
      </c>
    </row>
    <row r="94" spans="1:17" x14ac:dyDescent="0.35">
      <c r="A94" s="1" t="s">
        <v>153</v>
      </c>
      <c r="B94" t="s">
        <v>33</v>
      </c>
      <c r="C94" t="s">
        <v>33</v>
      </c>
      <c r="F94" t="s">
        <v>345</v>
      </c>
      <c r="G94" s="11">
        <v>12955.31</v>
      </c>
      <c r="H94" s="12" t="s">
        <v>261</v>
      </c>
      <c r="I94" s="6" t="s">
        <v>19</v>
      </c>
      <c r="K94" s="7">
        <v>42736</v>
      </c>
      <c r="M94" t="s">
        <v>261</v>
      </c>
      <c r="N94" t="s">
        <v>34</v>
      </c>
      <c r="O94" t="s">
        <v>35</v>
      </c>
      <c r="Q94" t="str">
        <f>_xlfn.XLOOKUP(Table1[[#This Row],[subtipo]],$C$192:$C$228,$D$192:$D$228,"",0)</f>
        <v/>
      </c>
    </row>
    <row r="95" spans="1:17" x14ac:dyDescent="0.35">
      <c r="A95" s="1" t="s">
        <v>154</v>
      </c>
      <c r="B95" t="s">
        <v>33</v>
      </c>
      <c r="C95" t="s">
        <v>33</v>
      </c>
      <c r="G95" s="11">
        <v>8368.4599999999991</v>
      </c>
      <c r="H95" s="12" t="s">
        <v>261</v>
      </c>
      <c r="M95" t="s">
        <v>261</v>
      </c>
      <c r="N95" t="s">
        <v>34</v>
      </c>
      <c r="O95" t="s">
        <v>155</v>
      </c>
      <c r="Q95" t="str">
        <f>_xlfn.XLOOKUP(Table1[[#This Row],[subtipo]],$C$192:$C$228,$D$192:$D$228,"",0)</f>
        <v/>
      </c>
    </row>
    <row r="96" spans="1:17" x14ac:dyDescent="0.35">
      <c r="A96" s="1" t="s">
        <v>156</v>
      </c>
      <c r="B96" t="s">
        <v>33</v>
      </c>
      <c r="C96" t="s">
        <v>33</v>
      </c>
      <c r="G96" s="11">
        <v>11617</v>
      </c>
      <c r="H96" s="12" t="s">
        <v>261</v>
      </c>
      <c r="M96" t="s">
        <v>261</v>
      </c>
      <c r="N96" t="s">
        <v>34</v>
      </c>
      <c r="O96" t="s">
        <v>70</v>
      </c>
      <c r="Q96" t="str">
        <f>_xlfn.XLOOKUP(Table1[[#This Row],[subtipo]],$C$192:$C$228,$D$192:$D$228,"",0)</f>
        <v/>
      </c>
    </row>
    <row r="97" spans="1:17" x14ac:dyDescent="0.35">
      <c r="A97" s="1" t="s">
        <v>157</v>
      </c>
      <c r="B97" t="s">
        <v>27</v>
      </c>
      <c r="C97" t="s">
        <v>27</v>
      </c>
      <c r="E97" t="s">
        <v>368</v>
      </c>
      <c r="F97" t="s">
        <v>397</v>
      </c>
      <c r="G97" s="11">
        <v>71506.36</v>
      </c>
      <c r="H97" s="12">
        <v>704</v>
      </c>
      <c r="I97" s="6" t="s">
        <v>19</v>
      </c>
      <c r="J97" s="6" t="s">
        <v>261</v>
      </c>
      <c r="K97" s="7">
        <v>43983</v>
      </c>
      <c r="N97" t="s">
        <v>28</v>
      </c>
      <c r="O97" t="s">
        <v>28</v>
      </c>
      <c r="Q97" t="str">
        <f>_xlfn.XLOOKUP(Table1[[#This Row],[subtipo]],$C$192:$C$228,$D$192:$D$228,"",0)</f>
        <v/>
      </c>
    </row>
    <row r="98" spans="1:17" x14ac:dyDescent="0.35">
      <c r="A98" s="1" t="s">
        <v>158</v>
      </c>
      <c r="B98" t="s">
        <v>27</v>
      </c>
      <c r="C98" t="s">
        <v>27</v>
      </c>
      <c r="E98" t="s">
        <v>392</v>
      </c>
      <c r="F98" t="s">
        <v>398</v>
      </c>
      <c r="G98" s="11">
        <v>37793.15</v>
      </c>
      <c r="H98" s="12">
        <v>640</v>
      </c>
      <c r="I98" s="6" t="s">
        <v>19</v>
      </c>
      <c r="J98" s="6" t="s">
        <v>261</v>
      </c>
      <c r="K98" s="7">
        <v>43040</v>
      </c>
      <c r="N98" t="s">
        <v>28</v>
      </c>
      <c r="O98" t="s">
        <v>28</v>
      </c>
      <c r="Q98" t="str">
        <f>_xlfn.XLOOKUP(Table1[[#This Row],[subtipo]],$C$192:$C$228,$D$192:$D$228,"",0)</f>
        <v/>
      </c>
    </row>
    <row r="99" spans="1:17" x14ac:dyDescent="0.35">
      <c r="A99" s="1" t="s">
        <v>159</v>
      </c>
      <c r="B99" t="s">
        <v>33</v>
      </c>
      <c r="C99" t="s">
        <v>33</v>
      </c>
      <c r="F99" t="s">
        <v>346</v>
      </c>
      <c r="G99" s="11">
        <v>1200.18</v>
      </c>
      <c r="H99" s="12" t="s">
        <v>261</v>
      </c>
      <c r="I99" s="6" t="s">
        <v>19</v>
      </c>
      <c r="K99" s="7">
        <v>45292</v>
      </c>
      <c r="M99" t="s">
        <v>261</v>
      </c>
      <c r="N99" t="s">
        <v>34</v>
      </c>
      <c r="O99" t="s">
        <v>35</v>
      </c>
      <c r="Q99" t="str">
        <f>_xlfn.XLOOKUP(Table1[[#This Row],[subtipo]],$C$192:$C$228,$D$192:$D$228,"",0)</f>
        <v/>
      </c>
    </row>
    <row r="100" spans="1:17" x14ac:dyDescent="0.35">
      <c r="A100" s="1" t="s">
        <v>160</v>
      </c>
      <c r="B100" t="s">
        <v>17</v>
      </c>
      <c r="C100" t="s">
        <v>446</v>
      </c>
      <c r="F100" t="s">
        <v>294</v>
      </c>
      <c r="G100" s="11">
        <v>9353.24</v>
      </c>
      <c r="H100" s="12" t="s">
        <v>261</v>
      </c>
      <c r="I100" s="6" t="s">
        <v>19</v>
      </c>
      <c r="K100" s="7">
        <v>43831</v>
      </c>
      <c r="N100" t="s">
        <v>145</v>
      </c>
      <c r="O100" t="s">
        <v>161</v>
      </c>
      <c r="Q100" t="str">
        <f>_xlfn.XLOOKUP(Table1[[#This Row],[subtipo]],$C$192:$C$228,$D$192:$D$228,"",0)</f>
        <v/>
      </c>
    </row>
    <row r="101" spans="1:17" x14ac:dyDescent="0.35">
      <c r="A101" s="1" t="s">
        <v>162</v>
      </c>
      <c r="B101" t="s">
        <v>17</v>
      </c>
      <c r="C101" t="s">
        <v>446</v>
      </c>
      <c r="F101" t="s">
        <v>295</v>
      </c>
      <c r="G101" s="11">
        <v>6451.15</v>
      </c>
      <c r="H101" s="12" t="s">
        <v>261</v>
      </c>
      <c r="I101" s="6" t="s">
        <v>19</v>
      </c>
      <c r="K101" s="7">
        <v>43101</v>
      </c>
      <c r="N101" t="s">
        <v>145</v>
      </c>
      <c r="O101" t="s">
        <v>163</v>
      </c>
      <c r="Q101" t="str">
        <f>_xlfn.XLOOKUP(Table1[[#This Row],[subtipo]],$C$192:$C$228,$D$192:$D$228,"",0)</f>
        <v/>
      </c>
    </row>
    <row r="102" spans="1:17" x14ac:dyDescent="0.35">
      <c r="A102" s="1" t="s">
        <v>164</v>
      </c>
      <c r="B102" t="s">
        <v>17</v>
      </c>
      <c r="C102" t="s">
        <v>444</v>
      </c>
      <c r="F102" t="s">
        <v>296</v>
      </c>
      <c r="G102" s="11">
        <v>3656.77</v>
      </c>
      <c r="H102" s="12" t="s">
        <v>261</v>
      </c>
      <c r="I102" s="6" t="s">
        <v>19</v>
      </c>
      <c r="K102" s="7">
        <v>45292</v>
      </c>
      <c r="N102" t="s">
        <v>59</v>
      </c>
      <c r="O102" t="s">
        <v>63</v>
      </c>
      <c r="Q102" t="str">
        <f>_xlfn.XLOOKUP(Table1[[#This Row],[subtipo]],$C$192:$C$228,$D$192:$D$228,"",0)</f>
        <v/>
      </c>
    </row>
    <row r="103" spans="1:17" x14ac:dyDescent="0.35">
      <c r="A103" s="1" t="s">
        <v>165</v>
      </c>
      <c r="B103" t="s">
        <v>17</v>
      </c>
      <c r="C103" t="s">
        <v>443</v>
      </c>
      <c r="F103" t="s">
        <v>297</v>
      </c>
      <c r="G103" s="11">
        <v>11138.23</v>
      </c>
      <c r="H103" s="12" t="s">
        <v>261</v>
      </c>
      <c r="I103" s="6" t="s">
        <v>19</v>
      </c>
      <c r="K103" s="7">
        <v>42736</v>
      </c>
      <c r="N103" t="s">
        <v>59</v>
      </c>
      <c r="O103" t="s">
        <v>166</v>
      </c>
      <c r="Q103" t="str">
        <f>_xlfn.XLOOKUP(Table1[[#This Row],[subtipo]],$C$192:$C$228,$D$192:$D$228,"",0)</f>
        <v/>
      </c>
    </row>
    <row r="104" spans="1:17" x14ac:dyDescent="0.35">
      <c r="A104" s="1" t="s">
        <v>167</v>
      </c>
      <c r="B104" t="s">
        <v>27</v>
      </c>
      <c r="C104" t="s">
        <v>27</v>
      </c>
      <c r="E104" t="s">
        <v>387</v>
      </c>
      <c r="F104" t="s">
        <v>399</v>
      </c>
      <c r="G104" s="11">
        <v>29909.38</v>
      </c>
      <c r="H104" s="12">
        <v>368</v>
      </c>
      <c r="I104" s="6" t="s">
        <v>19</v>
      </c>
      <c r="J104" s="6" t="s">
        <v>261</v>
      </c>
      <c r="K104" s="6" t="s">
        <v>261</v>
      </c>
      <c r="N104" t="s">
        <v>28</v>
      </c>
      <c r="O104" t="s">
        <v>28</v>
      </c>
      <c r="Q104" t="str">
        <f>_xlfn.XLOOKUP(Table1[[#This Row],[subtipo]],$C$192:$C$228,$D$192:$D$228,"",0)</f>
        <v/>
      </c>
    </row>
    <row r="105" spans="1:17" x14ac:dyDescent="0.35">
      <c r="A105" s="1" t="s">
        <v>168</v>
      </c>
      <c r="B105" t="s">
        <v>27</v>
      </c>
      <c r="C105" t="s">
        <v>27</v>
      </c>
      <c r="E105" t="s">
        <v>387</v>
      </c>
      <c r="F105" t="s">
        <v>400</v>
      </c>
      <c r="G105" s="11">
        <v>30566.21</v>
      </c>
      <c r="H105" s="12">
        <v>480</v>
      </c>
      <c r="I105" s="6" t="s">
        <v>19</v>
      </c>
      <c r="J105" s="6" t="s">
        <v>261</v>
      </c>
      <c r="K105" s="7">
        <v>43313</v>
      </c>
      <c r="N105" t="s">
        <v>28</v>
      </c>
      <c r="O105" t="s">
        <v>28</v>
      </c>
      <c r="Q105" t="str">
        <f>_xlfn.XLOOKUP(Table1[[#This Row],[subtipo]],$C$192:$C$228,$D$192:$D$228,"",0)</f>
        <v/>
      </c>
    </row>
    <row r="106" spans="1:17" x14ac:dyDescent="0.35">
      <c r="A106" s="1" t="s">
        <v>169</v>
      </c>
      <c r="B106" t="s">
        <v>33</v>
      </c>
      <c r="C106" t="s">
        <v>33</v>
      </c>
      <c r="E106" t="s">
        <v>347</v>
      </c>
      <c r="F106" t="s">
        <v>348</v>
      </c>
      <c r="G106" s="11">
        <v>3500.27</v>
      </c>
      <c r="H106" s="12" t="s">
        <v>261</v>
      </c>
      <c r="I106" s="6" t="s">
        <v>258</v>
      </c>
      <c r="M106" t="s">
        <v>261</v>
      </c>
      <c r="N106" t="s">
        <v>34</v>
      </c>
      <c r="O106" t="s">
        <v>35</v>
      </c>
      <c r="Q106" t="str">
        <f>_xlfn.XLOOKUP(Table1[[#This Row],[subtipo]],$C$192:$C$228,$D$192:$D$228,"",0)</f>
        <v/>
      </c>
    </row>
    <row r="107" spans="1:17" x14ac:dyDescent="0.35">
      <c r="A107" s="1" t="s">
        <v>170</v>
      </c>
      <c r="B107" t="s">
        <v>17</v>
      </c>
      <c r="C107" t="s">
        <v>52</v>
      </c>
      <c r="F107" t="s">
        <v>280</v>
      </c>
      <c r="G107" s="11">
        <v>1050.1099999999999</v>
      </c>
      <c r="H107" s="12" t="s">
        <v>261</v>
      </c>
      <c r="I107" s="6" t="s">
        <v>279</v>
      </c>
      <c r="M107" t="s">
        <v>298</v>
      </c>
      <c r="O107" t="s">
        <v>130</v>
      </c>
      <c r="Q107" t="str">
        <f>_xlfn.XLOOKUP(Table1[[#This Row],[subtipo]],$C$192:$C$228,$D$192:$D$228,"",0)</f>
        <v/>
      </c>
    </row>
    <row r="108" spans="1:17" x14ac:dyDescent="0.35">
      <c r="A108" s="1" t="s">
        <v>171</v>
      </c>
      <c r="B108" t="s">
        <v>27</v>
      </c>
      <c r="C108" t="s">
        <v>27</v>
      </c>
      <c r="E108" t="s">
        <v>401</v>
      </c>
      <c r="F108" t="s">
        <v>402</v>
      </c>
      <c r="G108" s="11">
        <v>99884.04</v>
      </c>
      <c r="H108" s="12">
        <v>772</v>
      </c>
      <c r="I108" s="6" t="s">
        <v>430</v>
      </c>
      <c r="K108" s="6" t="s">
        <v>261</v>
      </c>
      <c r="M108" t="s">
        <v>403</v>
      </c>
      <c r="N108" t="s">
        <v>28</v>
      </c>
      <c r="O108" t="s">
        <v>28</v>
      </c>
      <c r="Q108" t="str">
        <f>_xlfn.XLOOKUP(Table1[[#This Row],[subtipo]],$C$192:$C$228,$D$192:$D$228,"",0)</f>
        <v/>
      </c>
    </row>
    <row r="109" spans="1:17" x14ac:dyDescent="0.35">
      <c r="A109" s="1" t="s">
        <v>172</v>
      </c>
      <c r="B109" t="s">
        <v>17</v>
      </c>
      <c r="C109" t="s">
        <v>443</v>
      </c>
      <c r="F109" t="s">
        <v>299</v>
      </c>
      <c r="G109" s="11">
        <v>8343.9</v>
      </c>
      <c r="H109" s="12" t="s">
        <v>261</v>
      </c>
      <c r="I109" s="6" t="s">
        <v>19</v>
      </c>
      <c r="K109" s="7">
        <v>43831</v>
      </c>
      <c r="N109" t="s">
        <v>59</v>
      </c>
      <c r="O109" t="s">
        <v>70</v>
      </c>
      <c r="Q109" t="str">
        <f>_xlfn.XLOOKUP(Table1[[#This Row],[subtipo]],$C$192:$C$228,$D$192:$D$228,"",0)</f>
        <v/>
      </c>
    </row>
    <row r="110" spans="1:17" x14ac:dyDescent="0.35">
      <c r="A110" s="1" t="s">
        <v>173</v>
      </c>
      <c r="B110" t="s">
        <v>17</v>
      </c>
      <c r="C110" t="s">
        <v>42</v>
      </c>
      <c r="F110" t="s">
        <v>300</v>
      </c>
      <c r="G110" s="11">
        <v>2275.46</v>
      </c>
      <c r="H110" s="12" t="s">
        <v>261</v>
      </c>
      <c r="I110" s="6" t="s">
        <v>19</v>
      </c>
      <c r="K110" s="7">
        <v>43101</v>
      </c>
      <c r="M110" t="s">
        <v>288</v>
      </c>
      <c r="N110" t="s">
        <v>43</v>
      </c>
      <c r="O110" t="s">
        <v>44</v>
      </c>
      <c r="Q110" t="str">
        <f>_xlfn.XLOOKUP(Table1[[#This Row],[subtipo]],$C$192:$C$228,$D$192:$D$228,"",0)</f>
        <v/>
      </c>
    </row>
    <row r="111" spans="1:17" x14ac:dyDescent="0.35">
      <c r="A111" s="1" t="s">
        <v>174</v>
      </c>
      <c r="B111" t="s">
        <v>17</v>
      </c>
      <c r="C111" t="s">
        <v>52</v>
      </c>
      <c r="F111" t="s">
        <v>301</v>
      </c>
      <c r="G111" s="11">
        <v>2275.46</v>
      </c>
      <c r="H111" s="12" t="s">
        <v>261</v>
      </c>
      <c r="I111" s="6" t="s">
        <v>356</v>
      </c>
      <c r="N111" t="s">
        <v>142</v>
      </c>
      <c r="O111" t="s">
        <v>74</v>
      </c>
      <c r="Q111" t="str">
        <f>_xlfn.XLOOKUP(Table1[[#This Row],[subtipo]],$C$192:$C$228,$D$192:$D$228,"",0)</f>
        <v/>
      </c>
    </row>
    <row r="112" spans="1:17" x14ac:dyDescent="0.35">
      <c r="A112" s="1" t="s">
        <v>175</v>
      </c>
      <c r="B112" t="s">
        <v>27</v>
      </c>
      <c r="C112" t="s">
        <v>27</v>
      </c>
      <c r="E112" t="s">
        <v>404</v>
      </c>
      <c r="F112" t="s">
        <v>405</v>
      </c>
      <c r="G112" s="11">
        <v>17626.36</v>
      </c>
      <c r="H112" s="12">
        <v>280</v>
      </c>
      <c r="I112" s="6" t="s">
        <v>19</v>
      </c>
      <c r="K112" s="7">
        <v>43221</v>
      </c>
      <c r="N112" t="s">
        <v>28</v>
      </c>
      <c r="O112" t="s">
        <v>28</v>
      </c>
      <c r="Q112" t="str">
        <f>_xlfn.XLOOKUP(Table1[[#This Row],[subtipo]],$C$192:$C$228,$D$192:$D$228,"",0)</f>
        <v/>
      </c>
    </row>
    <row r="113" spans="1:17" x14ac:dyDescent="0.35">
      <c r="A113" s="1" t="s">
        <v>176</v>
      </c>
      <c r="B113" t="s">
        <v>27</v>
      </c>
      <c r="C113" t="s">
        <v>27</v>
      </c>
      <c r="E113" t="s">
        <v>406</v>
      </c>
      <c r="F113" t="s">
        <v>407</v>
      </c>
      <c r="G113" s="11">
        <v>15860.48</v>
      </c>
      <c r="H113" s="12">
        <v>240</v>
      </c>
      <c r="I113" s="6" t="s">
        <v>19</v>
      </c>
      <c r="K113" s="7">
        <v>42795</v>
      </c>
      <c r="N113" t="s">
        <v>28</v>
      </c>
      <c r="O113" t="s">
        <v>28</v>
      </c>
      <c r="Q113" t="str">
        <f>_xlfn.XLOOKUP(Table1[[#This Row],[subtipo]],$C$192:$C$228,$D$192:$D$228,"",0)</f>
        <v/>
      </c>
    </row>
    <row r="114" spans="1:17" x14ac:dyDescent="0.35">
      <c r="A114" s="1" t="s">
        <v>177</v>
      </c>
      <c r="B114" t="s">
        <v>33</v>
      </c>
      <c r="C114" t="s">
        <v>33</v>
      </c>
      <c r="E114" t="s">
        <v>261</v>
      </c>
      <c r="F114" t="s">
        <v>261</v>
      </c>
      <c r="G114" s="11">
        <v>900.22</v>
      </c>
      <c r="H114" s="12" t="s">
        <v>261</v>
      </c>
      <c r="I114" s="6" t="s">
        <v>261</v>
      </c>
      <c r="K114" s="6" t="s">
        <v>261</v>
      </c>
      <c r="M114" t="s">
        <v>261</v>
      </c>
      <c r="N114" t="s">
        <v>34</v>
      </c>
      <c r="O114" t="s">
        <v>130</v>
      </c>
      <c r="Q114" t="str">
        <f>_xlfn.XLOOKUP(Table1[[#This Row],[subtipo]],$C$192:$C$228,$D$192:$D$228,"",0)</f>
        <v/>
      </c>
    </row>
    <row r="115" spans="1:17" x14ac:dyDescent="0.35">
      <c r="A115" s="1" t="s">
        <v>178</v>
      </c>
      <c r="B115" t="s">
        <v>33</v>
      </c>
      <c r="C115" t="s">
        <v>33</v>
      </c>
      <c r="F115" t="s">
        <v>425</v>
      </c>
      <c r="G115" s="11">
        <v>2018.2</v>
      </c>
      <c r="H115" s="12" t="s">
        <v>261</v>
      </c>
      <c r="M115" t="s">
        <v>261</v>
      </c>
      <c r="N115" t="s">
        <v>34</v>
      </c>
      <c r="O115" t="s">
        <v>35</v>
      </c>
      <c r="Q115" t="str">
        <f>_xlfn.XLOOKUP(Table1[[#This Row],[subtipo]],$C$192:$C$228,$D$192:$D$228,"",0)</f>
        <v/>
      </c>
    </row>
    <row r="116" spans="1:17" x14ac:dyDescent="0.35">
      <c r="A116" s="1" t="s">
        <v>179</v>
      </c>
      <c r="B116" t="s">
        <v>33</v>
      </c>
      <c r="C116" t="s">
        <v>33</v>
      </c>
      <c r="G116" s="11">
        <v>675.65</v>
      </c>
      <c r="H116" s="12" t="s">
        <v>261</v>
      </c>
      <c r="M116" t="s">
        <v>261</v>
      </c>
      <c r="N116" t="s">
        <v>34</v>
      </c>
      <c r="O116" t="s">
        <v>33</v>
      </c>
      <c r="Q116" t="str">
        <f>_xlfn.XLOOKUP(Table1[[#This Row],[subtipo]],$C$192:$C$228,$D$192:$D$228,"",0)</f>
        <v/>
      </c>
    </row>
    <row r="117" spans="1:17" x14ac:dyDescent="0.35">
      <c r="A117" s="1" t="s">
        <v>180</v>
      </c>
      <c r="B117" t="s">
        <v>27</v>
      </c>
      <c r="C117" t="s">
        <v>27</v>
      </c>
      <c r="E117" t="s">
        <v>381</v>
      </c>
      <c r="F117" t="s">
        <v>408</v>
      </c>
      <c r="G117" s="11">
        <v>59513.68</v>
      </c>
      <c r="H117" s="12">
        <v>196</v>
      </c>
      <c r="I117" s="6" t="s">
        <v>430</v>
      </c>
      <c r="K117" s="6" t="s">
        <v>261</v>
      </c>
      <c r="N117" t="s">
        <v>28</v>
      </c>
      <c r="O117" t="s">
        <v>28</v>
      </c>
      <c r="Q117" t="str">
        <f>_xlfn.XLOOKUP(Table1[[#This Row],[subtipo]],$C$192:$C$228,$D$192:$D$228,"",0)</f>
        <v/>
      </c>
    </row>
    <row r="118" spans="1:17" x14ac:dyDescent="0.35">
      <c r="A118" s="1" t="s">
        <v>181</v>
      </c>
      <c r="B118" t="s">
        <v>27</v>
      </c>
      <c r="C118" t="s">
        <v>27</v>
      </c>
      <c r="E118" t="s">
        <v>368</v>
      </c>
      <c r="F118" t="s">
        <v>409</v>
      </c>
      <c r="G118" s="11">
        <v>59516.61</v>
      </c>
      <c r="H118" s="12">
        <v>544</v>
      </c>
      <c r="I118" s="6" t="s">
        <v>430</v>
      </c>
      <c r="K118" s="6" t="s">
        <v>261</v>
      </c>
      <c r="N118" t="s">
        <v>28</v>
      </c>
      <c r="O118" t="s">
        <v>28</v>
      </c>
      <c r="Q118" t="str">
        <f>_xlfn.XLOOKUP(Table1[[#This Row],[subtipo]],$C$192:$C$228,$D$192:$D$228,"",0)</f>
        <v/>
      </c>
    </row>
    <row r="119" spans="1:17" x14ac:dyDescent="0.35">
      <c r="A119" s="1" t="s">
        <v>182</v>
      </c>
      <c r="B119" t="s">
        <v>17</v>
      </c>
      <c r="C119" t="s">
        <v>446</v>
      </c>
      <c r="F119" t="s">
        <v>302</v>
      </c>
      <c r="G119" s="11">
        <v>0</v>
      </c>
      <c r="H119" s="12" t="s">
        <v>261</v>
      </c>
      <c r="I119" s="6" t="s">
        <v>19</v>
      </c>
      <c r="K119" s="7">
        <v>44927</v>
      </c>
      <c r="N119" t="s">
        <v>145</v>
      </c>
      <c r="O119" t="s">
        <v>183</v>
      </c>
      <c r="Q119" t="str">
        <f>_xlfn.XLOOKUP(Table1[[#This Row],[subtipo]],$C$192:$C$228,$D$192:$D$228,"",0)</f>
        <v/>
      </c>
    </row>
    <row r="120" spans="1:17" x14ac:dyDescent="0.35">
      <c r="A120" s="1" t="s">
        <v>184</v>
      </c>
      <c r="B120" t="s">
        <v>17</v>
      </c>
      <c r="C120" t="s">
        <v>42</v>
      </c>
      <c r="F120" t="s">
        <v>303</v>
      </c>
      <c r="G120" s="11">
        <v>1049.93</v>
      </c>
      <c r="H120" s="12" t="s">
        <v>261</v>
      </c>
      <c r="I120" s="6" t="s">
        <v>19</v>
      </c>
      <c r="K120" s="7">
        <v>43466</v>
      </c>
      <c r="M120" t="s">
        <v>304</v>
      </c>
      <c r="N120" t="s">
        <v>43</v>
      </c>
      <c r="O120" t="s">
        <v>44</v>
      </c>
      <c r="Q120" t="str">
        <f>_xlfn.XLOOKUP(Table1[[#This Row],[subtipo]],$C$192:$C$228,$D$192:$D$228,"",0)</f>
        <v/>
      </c>
    </row>
    <row r="121" spans="1:17" x14ac:dyDescent="0.35">
      <c r="A121" s="1" t="s">
        <v>185</v>
      </c>
      <c r="B121" t="s">
        <v>17</v>
      </c>
      <c r="C121" t="s">
        <v>443</v>
      </c>
      <c r="F121" t="s">
        <v>305</v>
      </c>
      <c r="G121" s="11">
        <v>8650.01</v>
      </c>
      <c r="H121" s="12" t="s">
        <v>261</v>
      </c>
      <c r="I121" s="6" t="s">
        <v>19</v>
      </c>
      <c r="K121" s="7">
        <v>45658</v>
      </c>
      <c r="N121" t="s">
        <v>59</v>
      </c>
      <c r="O121" t="s">
        <v>127</v>
      </c>
      <c r="Q121" t="str">
        <f>_xlfn.XLOOKUP(Table1[[#This Row],[subtipo]],$C$192:$C$228,$D$192:$D$228,"",0)</f>
        <v/>
      </c>
    </row>
    <row r="122" spans="1:17" x14ac:dyDescent="0.35">
      <c r="A122" s="1" t="s">
        <v>186</v>
      </c>
      <c r="B122" t="s">
        <v>17</v>
      </c>
      <c r="C122" t="s">
        <v>42</v>
      </c>
      <c r="F122" t="s">
        <v>306</v>
      </c>
      <c r="G122" s="11">
        <v>3058.15</v>
      </c>
      <c r="H122" s="12" t="s">
        <v>261</v>
      </c>
      <c r="I122" s="6" t="s">
        <v>429</v>
      </c>
      <c r="N122" t="s">
        <v>43</v>
      </c>
      <c r="O122" t="s">
        <v>44</v>
      </c>
      <c r="Q122" t="str">
        <f>_xlfn.XLOOKUP(Table1[[#This Row],[subtipo]],$C$192:$C$228,$D$192:$D$228,"",0)</f>
        <v/>
      </c>
    </row>
    <row r="123" spans="1:17" x14ac:dyDescent="0.35">
      <c r="A123" s="1" t="s">
        <v>187</v>
      </c>
      <c r="B123" t="s">
        <v>27</v>
      </c>
      <c r="C123" t="s">
        <v>27</v>
      </c>
      <c r="E123" t="s">
        <v>342</v>
      </c>
      <c r="F123" t="s">
        <v>410</v>
      </c>
      <c r="G123" s="11">
        <v>18277.919999999998</v>
      </c>
      <c r="H123" s="12">
        <v>280</v>
      </c>
      <c r="I123" s="6" t="s">
        <v>19</v>
      </c>
      <c r="K123" s="7">
        <v>41426</v>
      </c>
      <c r="N123" t="s">
        <v>28</v>
      </c>
      <c r="O123" t="s">
        <v>28</v>
      </c>
      <c r="Q123" t="str">
        <f>_xlfn.XLOOKUP(Table1[[#This Row],[subtipo]],$C$192:$C$228,$D$192:$D$228,"",0)</f>
        <v/>
      </c>
    </row>
    <row r="124" spans="1:17" x14ac:dyDescent="0.35">
      <c r="A124" s="1" t="s">
        <v>188</v>
      </c>
      <c r="B124" t="s">
        <v>33</v>
      </c>
      <c r="C124" t="s">
        <v>33</v>
      </c>
      <c r="G124" s="11">
        <v>8118.54</v>
      </c>
      <c r="H124" s="12" t="s">
        <v>261</v>
      </c>
      <c r="I124" s="6" t="s">
        <v>429</v>
      </c>
      <c r="M124" t="s">
        <v>261</v>
      </c>
      <c r="N124" t="s">
        <v>34</v>
      </c>
      <c r="O124" t="s">
        <v>35</v>
      </c>
      <c r="Q124" t="str">
        <f>_xlfn.XLOOKUP(Table1[[#This Row],[subtipo]],$C$192:$C$228,$D$192:$D$228,"",0)</f>
        <v/>
      </c>
    </row>
    <row r="125" spans="1:17" x14ac:dyDescent="0.35">
      <c r="A125" s="1" t="s">
        <v>189</v>
      </c>
      <c r="B125" t="s">
        <v>33</v>
      </c>
      <c r="C125" t="s">
        <v>33</v>
      </c>
      <c r="G125" s="11">
        <v>5337.05</v>
      </c>
      <c r="H125" s="12" t="s">
        <v>261</v>
      </c>
      <c r="I125" s="6" t="s">
        <v>429</v>
      </c>
      <c r="M125" t="s">
        <v>261</v>
      </c>
      <c r="N125" t="s">
        <v>34</v>
      </c>
      <c r="O125" t="s">
        <v>25</v>
      </c>
      <c r="Q125" t="str">
        <f>_xlfn.XLOOKUP(Table1[[#This Row],[subtipo]],$C$192:$C$228,$D$192:$D$228,"",0)</f>
        <v/>
      </c>
    </row>
    <row r="126" spans="1:17" x14ac:dyDescent="0.35">
      <c r="A126" s="1" t="s">
        <v>190</v>
      </c>
      <c r="B126" t="s">
        <v>17</v>
      </c>
      <c r="C126" t="s">
        <v>448</v>
      </c>
      <c r="F126" t="s">
        <v>307</v>
      </c>
      <c r="G126" s="11">
        <v>3245.29</v>
      </c>
      <c r="H126" s="12" t="s">
        <v>261</v>
      </c>
      <c r="I126" s="6" t="s">
        <v>19</v>
      </c>
      <c r="K126" s="7">
        <v>43101</v>
      </c>
      <c r="N126" t="s">
        <v>20</v>
      </c>
      <c r="O126" t="s">
        <v>191</v>
      </c>
      <c r="Q126" t="str">
        <f>_xlfn.XLOOKUP(Table1[[#This Row],[subtipo]],$C$192:$C$228,$D$192:$D$228,"",0)</f>
        <v/>
      </c>
    </row>
    <row r="127" spans="1:17" x14ac:dyDescent="0.35">
      <c r="A127" s="1" t="s">
        <v>192</v>
      </c>
      <c r="B127" t="s">
        <v>17</v>
      </c>
      <c r="C127" t="s">
        <v>46</v>
      </c>
      <c r="F127" t="s">
        <v>308</v>
      </c>
      <c r="G127" s="11">
        <v>1455.02</v>
      </c>
      <c r="H127" s="12" t="s">
        <v>261</v>
      </c>
      <c r="I127" s="6" t="s">
        <v>19</v>
      </c>
      <c r="K127" s="7">
        <v>42736</v>
      </c>
      <c r="N127" t="s">
        <v>46</v>
      </c>
      <c r="O127" t="s">
        <v>47</v>
      </c>
      <c r="Q127" t="str">
        <f>_xlfn.XLOOKUP(Table1[[#This Row],[subtipo]],$C$192:$C$228,$D$192:$D$228,"",0)</f>
        <v/>
      </c>
    </row>
    <row r="128" spans="1:17" x14ac:dyDescent="0.35">
      <c r="A128" s="1" t="s">
        <v>193</v>
      </c>
      <c r="B128" t="s">
        <v>17</v>
      </c>
      <c r="C128" t="s">
        <v>42</v>
      </c>
      <c r="F128" t="s">
        <v>309</v>
      </c>
      <c r="G128" s="11">
        <v>4139.24</v>
      </c>
      <c r="H128" s="12" t="s">
        <v>261</v>
      </c>
      <c r="I128" s="6" t="s">
        <v>429</v>
      </c>
      <c r="N128" t="s">
        <v>43</v>
      </c>
      <c r="O128" t="s">
        <v>44</v>
      </c>
      <c r="Q128" t="str">
        <f>_xlfn.XLOOKUP(Table1[[#This Row],[subtipo]],$C$192:$C$228,$D$192:$D$228,"",0)</f>
        <v/>
      </c>
    </row>
    <row r="129" spans="1:17" x14ac:dyDescent="0.35">
      <c r="A129" s="1" t="s">
        <v>194</v>
      </c>
      <c r="B129" t="s">
        <v>17</v>
      </c>
      <c r="C129" t="s">
        <v>46</v>
      </c>
      <c r="F129" t="s">
        <v>310</v>
      </c>
      <c r="G129" s="11">
        <v>2301.38</v>
      </c>
      <c r="H129" s="12" t="s">
        <v>261</v>
      </c>
      <c r="I129" s="6" t="s">
        <v>19</v>
      </c>
      <c r="K129" s="7">
        <v>42736</v>
      </c>
      <c r="N129" t="s">
        <v>46</v>
      </c>
      <c r="O129" t="s">
        <v>49</v>
      </c>
      <c r="Q129" t="str">
        <f>_xlfn.XLOOKUP(Table1[[#This Row],[subtipo]],$C$192:$C$228,$D$192:$D$228,"",0)</f>
        <v/>
      </c>
    </row>
    <row r="130" spans="1:17" x14ac:dyDescent="0.35">
      <c r="A130" s="1" t="s">
        <v>195</v>
      </c>
      <c r="B130" t="s">
        <v>27</v>
      </c>
      <c r="C130" t="s">
        <v>27</v>
      </c>
      <c r="E130" t="s">
        <v>368</v>
      </c>
      <c r="F130" t="s">
        <v>411</v>
      </c>
      <c r="G130" s="11">
        <v>102140.77</v>
      </c>
      <c r="H130" s="12">
        <v>1176</v>
      </c>
      <c r="I130" s="6" t="s">
        <v>19</v>
      </c>
      <c r="J130" s="6" t="s">
        <v>261</v>
      </c>
      <c r="K130" s="9"/>
      <c r="N130" t="s">
        <v>28</v>
      </c>
      <c r="O130" t="s">
        <v>28</v>
      </c>
      <c r="Q130" t="str">
        <f>_xlfn.XLOOKUP(Table1[[#This Row],[subtipo]],$C$192:$C$228,$D$192:$D$228,"",0)</f>
        <v/>
      </c>
    </row>
    <row r="131" spans="1:17" x14ac:dyDescent="0.35">
      <c r="A131" s="1" t="s">
        <v>196</v>
      </c>
      <c r="B131" t="s">
        <v>33</v>
      </c>
      <c r="C131" t="s">
        <v>33</v>
      </c>
      <c r="E131" t="s">
        <v>330</v>
      </c>
      <c r="F131" t="s">
        <v>350</v>
      </c>
      <c r="G131" s="11">
        <v>988.63</v>
      </c>
      <c r="H131" s="12" t="s">
        <v>261</v>
      </c>
      <c r="I131" s="6" t="s">
        <v>349</v>
      </c>
      <c r="K131" s="7">
        <v>46023</v>
      </c>
      <c r="M131" t="s">
        <v>261</v>
      </c>
      <c r="N131" t="s">
        <v>34</v>
      </c>
      <c r="O131" t="s">
        <v>35</v>
      </c>
      <c r="Q131" t="str">
        <f>_xlfn.XLOOKUP(Table1[[#This Row],[subtipo]],$C$192:$C$228,$D$192:$D$228,"",0)</f>
        <v/>
      </c>
    </row>
    <row r="132" spans="1:17" x14ac:dyDescent="0.35">
      <c r="A132" s="1" t="s">
        <v>197</v>
      </c>
      <c r="B132" t="s">
        <v>17</v>
      </c>
      <c r="C132" t="s">
        <v>42</v>
      </c>
      <c r="F132" t="s">
        <v>311</v>
      </c>
      <c r="G132" s="11">
        <v>1020.89</v>
      </c>
      <c r="H132" s="12" t="s">
        <v>261</v>
      </c>
      <c r="I132" s="6" t="s">
        <v>429</v>
      </c>
      <c r="N132" t="s">
        <v>43</v>
      </c>
      <c r="O132" t="s">
        <v>198</v>
      </c>
      <c r="Q132" t="str">
        <f>_xlfn.XLOOKUP(Table1[[#This Row],[subtipo]],$C$192:$C$228,$D$192:$D$228,"",0)</f>
        <v/>
      </c>
    </row>
    <row r="133" spans="1:17" x14ac:dyDescent="0.35">
      <c r="A133" s="1" t="s">
        <v>199</v>
      </c>
      <c r="B133" t="s">
        <v>17</v>
      </c>
      <c r="C133" t="s">
        <v>443</v>
      </c>
      <c r="F133" t="s">
        <v>312</v>
      </c>
      <c r="G133" s="11">
        <v>8470.9599999999991</v>
      </c>
      <c r="H133" s="12" t="s">
        <v>261</v>
      </c>
      <c r="I133" s="6" t="s">
        <v>19</v>
      </c>
      <c r="K133" s="7">
        <v>44927</v>
      </c>
      <c r="N133" t="s">
        <v>59</v>
      </c>
      <c r="O133" t="s">
        <v>200</v>
      </c>
      <c r="Q133" t="str">
        <f>_xlfn.XLOOKUP(Table1[[#This Row],[subtipo]],$C$192:$C$228,$D$192:$D$228,"",0)</f>
        <v/>
      </c>
    </row>
    <row r="134" spans="1:17" x14ac:dyDescent="0.35">
      <c r="A134" s="1" t="s">
        <v>201</v>
      </c>
      <c r="B134" t="s">
        <v>17</v>
      </c>
      <c r="C134" t="s">
        <v>42</v>
      </c>
      <c r="F134" t="s">
        <v>313</v>
      </c>
      <c r="G134" s="11">
        <v>1050.6300000000001</v>
      </c>
      <c r="H134" s="12" t="s">
        <v>261</v>
      </c>
      <c r="I134" s="6" t="s">
        <v>19</v>
      </c>
      <c r="K134" s="7">
        <v>43101</v>
      </c>
      <c r="N134" t="s">
        <v>43</v>
      </c>
      <c r="O134" t="s">
        <v>198</v>
      </c>
      <c r="Q134" t="str">
        <f>_xlfn.XLOOKUP(Table1[[#This Row],[subtipo]],$C$192:$C$228,$D$192:$D$228,"",0)</f>
        <v/>
      </c>
    </row>
    <row r="135" spans="1:17" x14ac:dyDescent="0.35">
      <c r="A135" s="1" t="s">
        <v>202</v>
      </c>
      <c r="B135" t="s">
        <v>27</v>
      </c>
      <c r="C135" t="s">
        <v>27</v>
      </c>
      <c r="E135" t="s">
        <v>412</v>
      </c>
      <c r="F135" t="s">
        <v>413</v>
      </c>
      <c r="G135" s="11">
        <v>29073.46</v>
      </c>
      <c r="H135" s="12">
        <v>320</v>
      </c>
      <c r="I135" s="6" t="s">
        <v>414</v>
      </c>
      <c r="J135" s="6" t="s">
        <v>261</v>
      </c>
      <c r="K135" s="6" t="s">
        <v>261</v>
      </c>
      <c r="M135" t="s">
        <v>415</v>
      </c>
      <c r="N135" t="s">
        <v>28</v>
      </c>
      <c r="O135" t="s">
        <v>28</v>
      </c>
      <c r="Q135" t="str">
        <f>_xlfn.XLOOKUP(Table1[[#This Row],[subtipo]],$C$192:$C$228,$D$192:$D$228,"",0)</f>
        <v/>
      </c>
    </row>
    <row r="136" spans="1:17" x14ac:dyDescent="0.35">
      <c r="A136" s="1" t="s">
        <v>203</v>
      </c>
      <c r="B136" t="s">
        <v>27</v>
      </c>
      <c r="C136" t="s">
        <v>27</v>
      </c>
      <c r="E136" t="s">
        <v>416</v>
      </c>
      <c r="F136" t="s">
        <v>417</v>
      </c>
      <c r="G136" s="11">
        <v>31629.38</v>
      </c>
      <c r="H136" s="12">
        <v>456</v>
      </c>
      <c r="I136" s="6" t="s">
        <v>19</v>
      </c>
      <c r="J136" s="6" t="s">
        <v>261</v>
      </c>
      <c r="K136" s="7">
        <v>43586</v>
      </c>
      <c r="N136" t="s">
        <v>28</v>
      </c>
      <c r="O136" t="s">
        <v>28</v>
      </c>
      <c r="Q136" t="str">
        <f>_xlfn.XLOOKUP(Table1[[#This Row],[subtipo]],$C$192:$C$228,$D$192:$D$228,"",0)</f>
        <v/>
      </c>
    </row>
    <row r="137" spans="1:17" x14ac:dyDescent="0.35">
      <c r="A137" s="1" t="s">
        <v>204</v>
      </c>
      <c r="B137" t="s">
        <v>17</v>
      </c>
      <c r="C137" t="s">
        <v>52</v>
      </c>
      <c r="F137" t="s">
        <v>280</v>
      </c>
      <c r="G137" s="11">
        <v>1049.93</v>
      </c>
      <c r="H137" s="12" t="s">
        <v>261</v>
      </c>
      <c r="I137" s="6" t="s">
        <v>279</v>
      </c>
      <c r="M137" t="s">
        <v>298</v>
      </c>
      <c r="O137" t="s">
        <v>205</v>
      </c>
      <c r="Q137" t="str">
        <f>_xlfn.XLOOKUP(Table1[[#This Row],[subtipo]],$C$192:$C$228,$D$192:$D$228,"",0)</f>
        <v/>
      </c>
    </row>
    <row r="138" spans="1:17" x14ac:dyDescent="0.35">
      <c r="A138" s="1" t="s">
        <v>206</v>
      </c>
      <c r="B138" t="s">
        <v>33</v>
      </c>
      <c r="C138" t="s">
        <v>33</v>
      </c>
      <c r="E138" t="s">
        <v>330</v>
      </c>
      <c r="F138" t="s">
        <v>351</v>
      </c>
      <c r="G138" s="11">
        <v>3500.17</v>
      </c>
      <c r="H138" s="12" t="s">
        <v>261</v>
      </c>
      <c r="I138" s="6" t="s">
        <v>349</v>
      </c>
      <c r="K138" s="7">
        <v>46023</v>
      </c>
      <c r="M138" t="s">
        <v>261</v>
      </c>
      <c r="N138" t="s">
        <v>34</v>
      </c>
      <c r="O138" t="s">
        <v>35</v>
      </c>
      <c r="Q138" t="str">
        <f>_xlfn.XLOOKUP(Table1[[#This Row],[subtipo]],$C$192:$C$228,$D$192:$D$228,"",0)</f>
        <v/>
      </c>
    </row>
    <row r="139" spans="1:17" x14ac:dyDescent="0.35">
      <c r="A139" s="1" t="s">
        <v>207</v>
      </c>
      <c r="B139" t="s">
        <v>27</v>
      </c>
      <c r="C139" t="s">
        <v>27</v>
      </c>
      <c r="E139" t="s">
        <v>418</v>
      </c>
      <c r="F139" t="s">
        <v>419</v>
      </c>
      <c r="G139" s="11">
        <v>86841.29</v>
      </c>
      <c r="H139" s="12">
        <v>1200</v>
      </c>
      <c r="I139" s="6" t="s">
        <v>430</v>
      </c>
      <c r="J139" s="6" t="s">
        <v>261</v>
      </c>
      <c r="K139" s="6" t="s">
        <v>261</v>
      </c>
      <c r="N139" t="s">
        <v>28</v>
      </c>
      <c r="O139" t="s">
        <v>28</v>
      </c>
      <c r="Q139" t="str">
        <f>_xlfn.XLOOKUP(Table1[[#This Row],[subtipo]],$C$192:$C$228,$D$192:$D$228,"",0)</f>
        <v/>
      </c>
    </row>
    <row r="140" spans="1:17" x14ac:dyDescent="0.35">
      <c r="A140" s="1" t="s">
        <v>208</v>
      </c>
      <c r="B140" t="s">
        <v>17</v>
      </c>
      <c r="C140" t="s">
        <v>444</v>
      </c>
      <c r="F140" t="s">
        <v>314</v>
      </c>
      <c r="G140" s="11">
        <v>3500.24</v>
      </c>
      <c r="H140" s="12" t="s">
        <v>261</v>
      </c>
      <c r="I140" s="6" t="s">
        <v>19</v>
      </c>
      <c r="K140" s="7">
        <v>43101</v>
      </c>
      <c r="N140" t="s">
        <v>59</v>
      </c>
      <c r="O140" t="s">
        <v>62</v>
      </c>
      <c r="Q140" t="str">
        <f>_xlfn.XLOOKUP(Table1[[#This Row],[subtipo]],$C$192:$C$228,$D$192:$D$228,"",0)</f>
        <v/>
      </c>
    </row>
    <row r="141" spans="1:17" x14ac:dyDescent="0.35">
      <c r="A141" s="1" t="s">
        <v>209</v>
      </c>
      <c r="B141" t="s">
        <v>17</v>
      </c>
      <c r="C141" t="s">
        <v>443</v>
      </c>
      <c r="F141" t="s">
        <v>315</v>
      </c>
      <c r="G141" s="11">
        <v>8564.5300000000007</v>
      </c>
      <c r="H141" s="12" t="s">
        <v>261</v>
      </c>
      <c r="I141" s="6" t="s">
        <v>19</v>
      </c>
      <c r="K141" s="7">
        <v>43466</v>
      </c>
      <c r="N141" t="s">
        <v>59</v>
      </c>
      <c r="O141" t="s">
        <v>210</v>
      </c>
      <c r="Q141" t="str">
        <f>_xlfn.XLOOKUP(Table1[[#This Row],[subtipo]],$C$192:$C$228,$D$192:$D$228,"",0)</f>
        <v/>
      </c>
    </row>
    <row r="142" spans="1:17" x14ac:dyDescent="0.35">
      <c r="A142" s="1" t="s">
        <v>211</v>
      </c>
      <c r="B142" t="s">
        <v>27</v>
      </c>
      <c r="C142" t="s">
        <v>27</v>
      </c>
      <c r="E142" t="s">
        <v>420</v>
      </c>
      <c r="F142" t="s">
        <v>421</v>
      </c>
      <c r="G142" s="11">
        <v>17093.919999999998</v>
      </c>
      <c r="H142" s="12">
        <v>224</v>
      </c>
      <c r="I142" s="6" t="s">
        <v>19</v>
      </c>
      <c r="K142" s="7">
        <v>42917</v>
      </c>
      <c r="N142" t="s">
        <v>28</v>
      </c>
      <c r="O142" t="s">
        <v>28</v>
      </c>
      <c r="Q142" t="str">
        <f>_xlfn.XLOOKUP(Table1[[#This Row],[subtipo]],$C$192:$C$228,$D$192:$D$228,"",0)</f>
        <v/>
      </c>
    </row>
    <row r="143" spans="1:17" x14ac:dyDescent="0.35">
      <c r="A143" s="1" t="s">
        <v>212</v>
      </c>
      <c r="B143" t="s">
        <v>27</v>
      </c>
      <c r="C143" t="s">
        <v>27</v>
      </c>
      <c r="E143" t="s">
        <v>422</v>
      </c>
      <c r="F143" t="s">
        <v>423</v>
      </c>
      <c r="G143" s="11">
        <v>15335.02</v>
      </c>
      <c r="H143" s="12">
        <v>272</v>
      </c>
      <c r="I143" s="6" t="s">
        <v>414</v>
      </c>
      <c r="K143" s="6" t="s">
        <v>261</v>
      </c>
      <c r="M143" t="s">
        <v>424</v>
      </c>
      <c r="N143" t="s">
        <v>28</v>
      </c>
      <c r="O143" t="s">
        <v>28</v>
      </c>
      <c r="Q143" t="str">
        <f>_xlfn.XLOOKUP(Table1[[#This Row],[subtipo]],$C$192:$C$228,$D$192:$D$228,"",0)</f>
        <v/>
      </c>
    </row>
    <row r="144" spans="1:17" x14ac:dyDescent="0.35">
      <c r="A144" s="1" t="s">
        <v>213</v>
      </c>
      <c r="B144" t="s">
        <v>33</v>
      </c>
      <c r="C144" t="s">
        <v>33</v>
      </c>
      <c r="E144" t="s">
        <v>352</v>
      </c>
      <c r="F144" t="s">
        <v>353</v>
      </c>
      <c r="G144" s="11">
        <v>2099.87</v>
      </c>
      <c r="H144" s="12" t="s">
        <v>261</v>
      </c>
      <c r="I144" s="6" t="s">
        <v>19</v>
      </c>
      <c r="K144" s="7">
        <v>44197</v>
      </c>
      <c r="M144" t="s">
        <v>261</v>
      </c>
      <c r="N144" t="s">
        <v>34</v>
      </c>
      <c r="O144" t="s">
        <v>35</v>
      </c>
      <c r="Q144" t="str">
        <f>_xlfn.XLOOKUP(Table1[[#This Row],[subtipo]],$C$192:$C$228,$D$192:$D$228,"",0)</f>
        <v/>
      </c>
    </row>
    <row r="145" spans="1:17" x14ac:dyDescent="0.35">
      <c r="A145" s="1" t="s">
        <v>214</v>
      </c>
      <c r="B145" t="s">
        <v>17</v>
      </c>
      <c r="C145" t="s">
        <v>52</v>
      </c>
      <c r="F145" t="s">
        <v>280</v>
      </c>
      <c r="G145" s="11">
        <v>1224.98</v>
      </c>
      <c r="H145" s="12" t="s">
        <v>261</v>
      </c>
      <c r="I145" s="6" t="s">
        <v>279</v>
      </c>
      <c r="O145" t="s">
        <v>74</v>
      </c>
      <c r="Q145" t="str">
        <f>_xlfn.XLOOKUP(Table1[[#This Row],[subtipo]],$C$192:$C$228,$D$192:$D$228,"",0)</f>
        <v/>
      </c>
    </row>
    <row r="146" spans="1:17" x14ac:dyDescent="0.35">
      <c r="A146" s="1" t="s">
        <v>215</v>
      </c>
      <c r="B146" t="s">
        <v>17</v>
      </c>
      <c r="C146" t="s">
        <v>42</v>
      </c>
      <c r="F146" t="s">
        <v>316</v>
      </c>
      <c r="G146" s="11">
        <v>1388.86</v>
      </c>
      <c r="H146" s="12" t="s">
        <v>261</v>
      </c>
      <c r="I146" s="6" t="s">
        <v>19</v>
      </c>
      <c r="K146" s="7">
        <v>43831</v>
      </c>
      <c r="M146" t="s">
        <v>317</v>
      </c>
      <c r="N146" t="s">
        <v>43</v>
      </c>
      <c r="O146" t="s">
        <v>198</v>
      </c>
      <c r="Q146" t="str">
        <f>_xlfn.XLOOKUP(Table1[[#This Row],[subtipo]],$C$192:$C$228,$D$192:$D$228,"",0)</f>
        <v/>
      </c>
    </row>
    <row r="147" spans="1:17" x14ac:dyDescent="0.35">
      <c r="A147" s="1" t="s">
        <v>216</v>
      </c>
      <c r="B147" t="s">
        <v>27</v>
      </c>
      <c r="C147" t="s">
        <v>27</v>
      </c>
      <c r="D147" t="s">
        <v>442</v>
      </c>
      <c r="E147" t="s">
        <v>441</v>
      </c>
      <c r="F147" t="s">
        <v>437</v>
      </c>
      <c r="G147" s="11">
        <v>18285.52</v>
      </c>
      <c r="H147" s="12">
        <v>272</v>
      </c>
      <c r="I147" s="6" t="s">
        <v>19</v>
      </c>
      <c r="K147" s="7">
        <v>44409</v>
      </c>
      <c r="M147" t="s">
        <v>261</v>
      </c>
      <c r="N147" t="s">
        <v>28</v>
      </c>
      <c r="O147" t="s">
        <v>28</v>
      </c>
      <c r="Q147" t="str">
        <f>_xlfn.XLOOKUP(Table1[[#This Row],[subtipo]],$C$192:$C$228,$D$192:$D$228,"",0)</f>
        <v/>
      </c>
    </row>
    <row r="148" spans="1:17" x14ac:dyDescent="0.35">
      <c r="A148" s="1" t="s">
        <v>217</v>
      </c>
      <c r="B148" t="s">
        <v>33</v>
      </c>
      <c r="C148" t="s">
        <v>33</v>
      </c>
      <c r="G148" s="11">
        <v>5629.41</v>
      </c>
      <c r="H148" s="12" t="s">
        <v>261</v>
      </c>
      <c r="M148" t="s">
        <v>261</v>
      </c>
      <c r="N148" t="s">
        <v>34</v>
      </c>
      <c r="O148" t="s">
        <v>33</v>
      </c>
      <c r="Q148" t="str">
        <f>_xlfn.XLOOKUP(Table1[[#This Row],[subtipo]],$C$192:$C$228,$D$192:$D$228,"",0)</f>
        <v/>
      </c>
    </row>
    <row r="149" spans="1:17" x14ac:dyDescent="0.35">
      <c r="A149" s="1" t="s">
        <v>218</v>
      </c>
      <c r="B149" t="s">
        <v>17</v>
      </c>
      <c r="C149" t="s">
        <v>52</v>
      </c>
      <c r="F149" t="s">
        <v>277</v>
      </c>
      <c r="G149" s="11">
        <v>12737.52</v>
      </c>
      <c r="H149" s="12" t="s">
        <v>261</v>
      </c>
      <c r="I149" s="6" t="s">
        <v>19</v>
      </c>
      <c r="K149" s="7">
        <v>43831</v>
      </c>
      <c r="N149" t="s">
        <v>52</v>
      </c>
      <c r="O149" t="s">
        <v>52</v>
      </c>
      <c r="Q149" t="str">
        <f>_xlfn.XLOOKUP(Table1[[#This Row],[subtipo]],$C$192:$C$228,$D$192:$D$228,"",0)</f>
        <v/>
      </c>
    </row>
    <row r="150" spans="1:17" x14ac:dyDescent="0.35">
      <c r="A150" s="1" t="s">
        <v>219</v>
      </c>
      <c r="B150" t="s">
        <v>33</v>
      </c>
      <c r="C150" t="s">
        <v>33</v>
      </c>
      <c r="G150" s="11">
        <v>5054.95</v>
      </c>
      <c r="H150" s="12" t="s">
        <v>261</v>
      </c>
      <c r="M150" t="s">
        <v>261</v>
      </c>
      <c r="N150" t="s">
        <v>34</v>
      </c>
      <c r="O150" t="s">
        <v>33</v>
      </c>
      <c r="Q150" t="str">
        <f>_xlfn.XLOOKUP(Table1[[#This Row],[subtipo]],$C$192:$C$228,$D$192:$D$228,"",0)</f>
        <v/>
      </c>
    </row>
    <row r="151" spans="1:17" x14ac:dyDescent="0.35">
      <c r="A151" s="1" t="s">
        <v>220</v>
      </c>
      <c r="B151" t="s">
        <v>33</v>
      </c>
      <c r="C151" t="s">
        <v>33</v>
      </c>
      <c r="G151" s="11">
        <v>2387.9899999999998</v>
      </c>
      <c r="H151" s="12" t="s">
        <v>261</v>
      </c>
      <c r="M151" t="s">
        <v>261</v>
      </c>
      <c r="N151" t="s">
        <v>34</v>
      </c>
      <c r="O151" t="s">
        <v>33</v>
      </c>
      <c r="Q151" t="str">
        <f>_xlfn.XLOOKUP(Table1[[#This Row],[subtipo]],$C$192:$C$228,$D$192:$D$228,"",0)</f>
        <v/>
      </c>
    </row>
    <row r="152" spans="1:17" x14ac:dyDescent="0.35">
      <c r="A152" s="1" t="s">
        <v>221</v>
      </c>
      <c r="B152" t="s">
        <v>17</v>
      </c>
      <c r="C152" t="s">
        <v>447</v>
      </c>
      <c r="E152" t="s">
        <v>261</v>
      </c>
      <c r="F152" t="s">
        <v>261</v>
      </c>
      <c r="G152" s="11">
        <v>432.02</v>
      </c>
      <c r="H152" s="12" t="s">
        <v>261</v>
      </c>
      <c r="I152" s="6" t="s">
        <v>261</v>
      </c>
      <c r="K152" s="6" t="s">
        <v>261</v>
      </c>
      <c r="M152" t="s">
        <v>261</v>
      </c>
      <c r="N152" t="s">
        <v>20</v>
      </c>
      <c r="O152" t="s">
        <v>117</v>
      </c>
      <c r="Q152" t="str">
        <f>_xlfn.XLOOKUP(Table1[[#This Row],[subtipo]],$C$192:$C$228,$D$192:$D$228,"",0)</f>
        <v/>
      </c>
    </row>
    <row r="153" spans="1:17" x14ac:dyDescent="0.35">
      <c r="A153" s="1" t="s">
        <v>222</v>
      </c>
      <c r="B153" t="s">
        <v>17</v>
      </c>
      <c r="C153" t="s">
        <v>46</v>
      </c>
      <c r="F153" t="s">
        <v>318</v>
      </c>
      <c r="G153" s="11">
        <v>0</v>
      </c>
      <c r="H153" s="12" t="s">
        <v>261</v>
      </c>
      <c r="I153" s="6" t="s">
        <v>356</v>
      </c>
      <c r="N153" t="s">
        <v>46</v>
      </c>
      <c r="O153">
        <v>911</v>
      </c>
      <c r="Q153" t="str">
        <f>_xlfn.XLOOKUP(Table1[[#This Row],[subtipo]],$C$192:$C$228,$D$192:$D$228,"",0)</f>
        <v/>
      </c>
    </row>
    <row r="154" spans="1:17" x14ac:dyDescent="0.35">
      <c r="A154" s="1" t="s">
        <v>223</v>
      </c>
      <c r="B154" t="s">
        <v>17</v>
      </c>
      <c r="C154" t="s">
        <v>449</v>
      </c>
      <c r="E154" t="s">
        <v>261</v>
      </c>
      <c r="F154" t="s">
        <v>261</v>
      </c>
      <c r="G154" s="11">
        <v>250000.46</v>
      </c>
      <c r="H154" s="12" t="s">
        <v>261</v>
      </c>
      <c r="I154" s="6" t="s">
        <v>261</v>
      </c>
      <c r="M154" t="s">
        <v>261</v>
      </c>
      <c r="N154" t="s">
        <v>34</v>
      </c>
      <c r="O154" t="s">
        <v>224</v>
      </c>
      <c r="Q154" t="str">
        <f>_xlfn.XLOOKUP(Table1[[#This Row],[subtipo]],$C$192:$C$228,$D$192:$D$228,"",0)</f>
        <v/>
      </c>
    </row>
    <row r="155" spans="1:17" x14ac:dyDescent="0.35">
      <c r="A155" s="1" t="s">
        <v>225</v>
      </c>
      <c r="B155" t="s">
        <v>17</v>
      </c>
      <c r="C155" t="s">
        <v>52</v>
      </c>
      <c r="F155" t="s">
        <v>319</v>
      </c>
      <c r="G155" s="11">
        <v>5688.26</v>
      </c>
      <c r="H155" s="12" t="s">
        <v>261</v>
      </c>
      <c r="I155" s="6" t="s">
        <v>429</v>
      </c>
      <c r="N155" t="s">
        <v>52</v>
      </c>
      <c r="O155" t="s">
        <v>52</v>
      </c>
      <c r="Q155" t="str">
        <f>_xlfn.XLOOKUP(Table1[[#This Row],[subtipo]],$C$192:$C$228,$D$192:$D$228,"",0)</f>
        <v/>
      </c>
    </row>
    <row r="156" spans="1:17" x14ac:dyDescent="0.35">
      <c r="A156" s="1" t="s">
        <v>226</v>
      </c>
      <c r="B156" t="s">
        <v>33</v>
      </c>
      <c r="C156" t="s">
        <v>33</v>
      </c>
      <c r="E156" t="s">
        <v>354</v>
      </c>
      <c r="F156" t="s">
        <v>428</v>
      </c>
      <c r="G156" s="5">
        <v>4733.34</v>
      </c>
      <c r="H156" s="12" t="s">
        <v>261</v>
      </c>
      <c r="I156" s="6" t="s">
        <v>258</v>
      </c>
      <c r="M156" t="s">
        <v>261</v>
      </c>
      <c r="N156" t="s">
        <v>34</v>
      </c>
      <c r="O156" t="s">
        <v>33</v>
      </c>
      <c r="Q156" t="str">
        <f>_xlfn.XLOOKUP(Table1[[#This Row],[subtipo]],$C$192:$C$228,$D$192:$D$228,"",0)</f>
        <v/>
      </c>
    </row>
    <row r="157" spans="1:17" x14ac:dyDescent="0.35">
      <c r="A157" s="1" t="s">
        <v>227</v>
      </c>
      <c r="B157" t="s">
        <v>17</v>
      </c>
      <c r="C157" t="s">
        <v>42</v>
      </c>
      <c r="E157" t="s">
        <v>261</v>
      </c>
      <c r="F157" s="3" t="s">
        <v>431</v>
      </c>
      <c r="G157" s="4">
        <v>7794.11</v>
      </c>
      <c r="H157" s="12" t="s">
        <v>261</v>
      </c>
      <c r="I157" s="6" t="s">
        <v>261</v>
      </c>
      <c r="M157" t="s">
        <v>261</v>
      </c>
      <c r="N157" t="s">
        <v>43</v>
      </c>
      <c r="O157" t="s">
        <v>120</v>
      </c>
      <c r="Q157" t="str">
        <f>_xlfn.XLOOKUP(Table1[[#This Row],[subtipo]],$C$192:$C$228,$D$192:$D$228,"",0)</f>
        <v/>
      </c>
    </row>
    <row r="158" spans="1:17" x14ac:dyDescent="0.35">
      <c r="A158" s="1" t="s">
        <v>228</v>
      </c>
      <c r="B158" t="s">
        <v>33</v>
      </c>
      <c r="C158" t="s">
        <v>33</v>
      </c>
      <c r="E158" t="s">
        <v>354</v>
      </c>
      <c r="F158" t="s">
        <v>427</v>
      </c>
      <c r="G158" s="11">
        <v>9792.44</v>
      </c>
      <c r="H158" s="12" t="s">
        <v>261</v>
      </c>
      <c r="I158" s="6" t="s">
        <v>258</v>
      </c>
      <c r="M158" t="s">
        <v>261</v>
      </c>
      <c r="N158" t="s">
        <v>34</v>
      </c>
      <c r="O158" t="s">
        <v>33</v>
      </c>
      <c r="Q158" t="str">
        <f>_xlfn.XLOOKUP(Table1[[#This Row],[subtipo]],$C$192:$C$228,$D$192:$D$228,"",0)</f>
        <v/>
      </c>
    </row>
    <row r="159" spans="1:17" x14ac:dyDescent="0.35">
      <c r="A159" s="1" t="s">
        <v>229</v>
      </c>
      <c r="B159" t="s">
        <v>17</v>
      </c>
      <c r="C159" t="s">
        <v>52</v>
      </c>
      <c r="F159" t="s">
        <v>320</v>
      </c>
      <c r="G159" s="11">
        <v>837.88</v>
      </c>
      <c r="H159" s="12" t="s">
        <v>261</v>
      </c>
      <c r="I159" s="6" t="s">
        <v>258</v>
      </c>
      <c r="J159" s="7">
        <v>45658</v>
      </c>
      <c r="N159" t="s">
        <v>142</v>
      </c>
      <c r="O159" t="s">
        <v>74</v>
      </c>
      <c r="Q159" t="str">
        <f>_xlfn.XLOOKUP(Table1[[#This Row],[subtipo]],$C$192:$C$228,$D$192:$D$228,"",0)</f>
        <v/>
      </c>
    </row>
    <row r="160" spans="1:17" x14ac:dyDescent="0.35">
      <c r="A160" s="1" t="s">
        <v>230</v>
      </c>
      <c r="B160" t="s">
        <v>33</v>
      </c>
      <c r="C160" t="s">
        <v>33</v>
      </c>
      <c r="E160" t="s">
        <v>354</v>
      </c>
      <c r="F160" t="s">
        <v>355</v>
      </c>
      <c r="G160" s="11">
        <v>3410.29</v>
      </c>
      <c r="H160" s="12" t="s">
        <v>261</v>
      </c>
      <c r="I160" s="6" t="s">
        <v>258</v>
      </c>
      <c r="M160" t="s">
        <v>261</v>
      </c>
      <c r="N160" t="s">
        <v>34</v>
      </c>
      <c r="O160" t="s">
        <v>35</v>
      </c>
      <c r="Q160" t="str">
        <f>_xlfn.XLOOKUP(Table1[[#This Row],[subtipo]],$C$192:$C$228,$D$192:$D$228,"",0)</f>
        <v/>
      </c>
    </row>
    <row r="161" spans="1:17" x14ac:dyDescent="0.35">
      <c r="A161" s="1" t="s">
        <v>231</v>
      </c>
      <c r="B161" t="s">
        <v>17</v>
      </c>
      <c r="C161" t="s">
        <v>42</v>
      </c>
      <c r="F161" t="s">
        <v>321</v>
      </c>
      <c r="G161" s="4">
        <v>569.69000000000005</v>
      </c>
      <c r="H161" s="12" t="s">
        <v>261</v>
      </c>
      <c r="I161" s="6" t="s">
        <v>349</v>
      </c>
      <c r="J161" s="7">
        <v>44927</v>
      </c>
      <c r="N161" t="s">
        <v>43</v>
      </c>
      <c r="O161" t="s">
        <v>44</v>
      </c>
      <c r="Q161" t="str">
        <f>_xlfn.XLOOKUP(Table1[[#This Row],[subtipo]],$C$192:$C$228,$D$192:$D$228,"",0)</f>
        <v/>
      </c>
    </row>
    <row r="162" spans="1:17" x14ac:dyDescent="0.35">
      <c r="A162" s="1" t="s">
        <v>232</v>
      </c>
      <c r="B162" t="s">
        <v>33</v>
      </c>
      <c r="C162" t="s">
        <v>33</v>
      </c>
      <c r="G162" s="11">
        <v>11462.88</v>
      </c>
      <c r="H162" s="12" t="s">
        <v>261</v>
      </c>
      <c r="I162" s="6" t="s">
        <v>336</v>
      </c>
      <c r="M162" t="s">
        <v>261</v>
      </c>
      <c r="N162" t="s">
        <v>34</v>
      </c>
      <c r="O162" t="s">
        <v>35</v>
      </c>
      <c r="Q162" t="str">
        <f>_xlfn.XLOOKUP(Table1[[#This Row],[subtipo]],$C$192:$C$228,$D$192:$D$228,"",0)</f>
        <v/>
      </c>
    </row>
    <row r="163" spans="1:17" x14ac:dyDescent="0.35">
      <c r="A163" s="1" t="s">
        <v>233</v>
      </c>
      <c r="B163" t="s">
        <v>33</v>
      </c>
      <c r="C163" t="s">
        <v>33</v>
      </c>
      <c r="F163" s="2" t="s">
        <v>426</v>
      </c>
      <c r="G163" s="11">
        <v>9892.49</v>
      </c>
      <c r="H163" s="12" t="s">
        <v>261</v>
      </c>
      <c r="I163" s="6" t="s">
        <v>336</v>
      </c>
      <c r="M163" t="s">
        <v>261</v>
      </c>
      <c r="N163" t="s">
        <v>34</v>
      </c>
      <c r="O163" t="s">
        <v>35</v>
      </c>
      <c r="Q163" t="str">
        <f>_xlfn.XLOOKUP(Table1[[#This Row],[subtipo]],$C$192:$C$228,$D$192:$D$228,"",0)</f>
        <v/>
      </c>
    </row>
    <row r="164" spans="1:17" x14ac:dyDescent="0.35">
      <c r="A164" s="1" t="s">
        <v>234</v>
      </c>
      <c r="B164" t="s">
        <v>17</v>
      </c>
      <c r="C164" t="s">
        <v>52</v>
      </c>
      <c r="F164" t="s">
        <v>319</v>
      </c>
      <c r="G164" s="11">
        <v>10429.790000000001</v>
      </c>
      <c r="H164" s="12" t="s">
        <v>261</v>
      </c>
      <c r="I164" s="6" t="s">
        <v>429</v>
      </c>
      <c r="O164" t="s">
        <v>235</v>
      </c>
      <c r="Q164" t="str">
        <f>_xlfn.XLOOKUP(Table1[[#This Row],[subtipo]],$C$192:$C$228,$D$192:$D$228,"",0)</f>
        <v/>
      </c>
    </row>
    <row r="165" spans="1:17" x14ac:dyDescent="0.35">
      <c r="A165" s="1" t="s">
        <v>236</v>
      </c>
      <c r="B165" t="s">
        <v>33</v>
      </c>
      <c r="C165" t="s">
        <v>33</v>
      </c>
      <c r="E165" t="s">
        <v>261</v>
      </c>
      <c r="F165" t="s">
        <v>261</v>
      </c>
      <c r="G165" s="11">
        <v>23378.77</v>
      </c>
      <c r="H165" s="12" t="s">
        <v>261</v>
      </c>
      <c r="I165" s="6" t="s">
        <v>261</v>
      </c>
      <c r="J165" s="6" t="s">
        <v>261</v>
      </c>
      <c r="K165" s="6" t="s">
        <v>261</v>
      </c>
      <c r="M165" t="s">
        <v>261</v>
      </c>
      <c r="N165" t="s">
        <v>34</v>
      </c>
      <c r="O165" t="s">
        <v>33</v>
      </c>
      <c r="Q165" t="str">
        <f>_xlfn.XLOOKUP(Table1[[#This Row],[subtipo]],$C$192:$C$228,$D$192:$D$228,"",0)</f>
        <v/>
      </c>
    </row>
    <row r="166" spans="1:17" x14ac:dyDescent="0.35">
      <c r="A166" s="1" t="s">
        <v>237</v>
      </c>
      <c r="B166" t="s">
        <v>17</v>
      </c>
      <c r="C166" t="s">
        <v>443</v>
      </c>
      <c r="F166" t="s">
        <v>322</v>
      </c>
      <c r="G166" s="11">
        <v>9937.9500000000007</v>
      </c>
      <c r="H166" s="12" t="s">
        <v>261</v>
      </c>
      <c r="I166" s="6" t="s">
        <v>19</v>
      </c>
      <c r="K166" s="7">
        <v>45292</v>
      </c>
      <c r="N166" t="s">
        <v>59</v>
      </c>
      <c r="O166" t="s">
        <v>238</v>
      </c>
      <c r="Q166" t="str">
        <f>_xlfn.XLOOKUP(Table1[[#This Row],[subtipo]],$C$192:$C$228,$D$192:$D$228,"",0)</f>
        <v/>
      </c>
    </row>
    <row r="167" spans="1:17" x14ac:dyDescent="0.35">
      <c r="A167" s="1" t="s">
        <v>239</v>
      </c>
      <c r="B167" t="s">
        <v>17</v>
      </c>
      <c r="C167" t="s">
        <v>450</v>
      </c>
      <c r="F167" t="s">
        <v>323</v>
      </c>
      <c r="G167" s="11">
        <v>2364.62</v>
      </c>
      <c r="H167" s="12" t="s">
        <v>261</v>
      </c>
      <c r="I167" s="6" t="s">
        <v>356</v>
      </c>
      <c r="N167" t="s">
        <v>43</v>
      </c>
      <c r="O167" t="s">
        <v>240</v>
      </c>
      <c r="Q167" t="str">
        <f>_xlfn.XLOOKUP(Table1[[#This Row],[subtipo]],$C$192:$C$228,$D$192:$D$228,"",0)</f>
        <v/>
      </c>
    </row>
    <row r="168" spans="1:17" x14ac:dyDescent="0.35">
      <c r="A168" s="1" t="s">
        <v>241</v>
      </c>
      <c r="B168" t="s">
        <v>17</v>
      </c>
      <c r="C168" t="s">
        <v>445</v>
      </c>
      <c r="F168" t="s">
        <v>324</v>
      </c>
      <c r="G168" s="11">
        <v>19620.650000000001</v>
      </c>
      <c r="H168" s="12" t="s">
        <v>261</v>
      </c>
      <c r="I168" s="6" t="s">
        <v>258</v>
      </c>
      <c r="J168" s="7">
        <v>44927</v>
      </c>
      <c r="O168" t="s">
        <v>44</v>
      </c>
      <c r="Q168" t="str">
        <f>_xlfn.XLOOKUP(Table1[[#This Row],[subtipo]],$C$192:$C$228,$D$192:$D$228,"",0)</f>
        <v/>
      </c>
    </row>
    <row r="169" spans="1:17" x14ac:dyDescent="0.35">
      <c r="A169" s="1" t="s">
        <v>242</v>
      </c>
      <c r="B169" t="s">
        <v>17</v>
      </c>
      <c r="C169" t="s">
        <v>42</v>
      </c>
      <c r="E169" t="s">
        <v>261</v>
      </c>
      <c r="F169" t="s">
        <v>261</v>
      </c>
      <c r="G169" s="11">
        <v>8495.48</v>
      </c>
      <c r="H169" s="12" t="s">
        <v>261</v>
      </c>
      <c r="I169" s="6" t="s">
        <v>261</v>
      </c>
      <c r="J169" s="6" t="s">
        <v>261</v>
      </c>
      <c r="K169" s="6" t="s">
        <v>261</v>
      </c>
      <c r="M169" t="s">
        <v>261</v>
      </c>
      <c r="N169" t="s">
        <v>43</v>
      </c>
      <c r="O169" t="s">
        <v>44</v>
      </c>
      <c r="Q169" t="str">
        <f>_xlfn.XLOOKUP(Table1[[#This Row],[subtipo]],$C$192:$C$228,$D$192:$D$228,"",0)</f>
        <v/>
      </c>
    </row>
    <row r="170" spans="1:17" x14ac:dyDescent="0.35">
      <c r="A170" s="1" t="s">
        <v>243</v>
      </c>
      <c r="B170" t="s">
        <v>17</v>
      </c>
      <c r="C170" t="s">
        <v>42</v>
      </c>
      <c r="E170" t="s">
        <v>261</v>
      </c>
      <c r="F170" s="3" t="s">
        <v>432</v>
      </c>
      <c r="G170" s="4">
        <v>10671.18</v>
      </c>
      <c r="H170" s="13"/>
      <c r="I170" s="6" t="s">
        <v>261</v>
      </c>
      <c r="J170" s="6" t="s">
        <v>261</v>
      </c>
      <c r="K170" s="6" t="s">
        <v>261</v>
      </c>
      <c r="M170" t="s">
        <v>261</v>
      </c>
      <c r="N170" t="s">
        <v>43</v>
      </c>
      <c r="O170" t="s">
        <v>44</v>
      </c>
      <c r="Q170" t="str">
        <f>_xlfn.XLOOKUP(Table1[[#This Row],[subtipo]],$C$192:$C$228,$D$192:$D$228,"",0)</f>
        <v/>
      </c>
    </row>
    <row r="171" spans="1:17" x14ac:dyDescent="0.35">
      <c r="A171" s="1" t="s">
        <v>244</v>
      </c>
      <c r="B171" t="s">
        <v>17</v>
      </c>
      <c r="C171" t="s">
        <v>443</v>
      </c>
      <c r="F171" t="s">
        <v>325</v>
      </c>
      <c r="G171" s="4">
        <v>23378.77</v>
      </c>
      <c r="H171" s="12" t="s">
        <v>261</v>
      </c>
      <c r="I171" s="6" t="s">
        <v>19</v>
      </c>
      <c r="K171" s="7">
        <v>43466</v>
      </c>
      <c r="N171" t="s">
        <v>43</v>
      </c>
      <c r="O171" t="s">
        <v>245</v>
      </c>
      <c r="Q171" t="str">
        <f>_xlfn.XLOOKUP(Table1[[#This Row],[subtipo]],$C$192:$C$228,$D$192:$D$228,"",0)</f>
        <v/>
      </c>
    </row>
    <row r="172" spans="1:17" x14ac:dyDescent="0.35">
      <c r="A172" s="1" t="s">
        <v>246</v>
      </c>
      <c r="B172" t="s">
        <v>33</v>
      </c>
      <c r="C172" t="s">
        <v>33</v>
      </c>
      <c r="G172" s="11">
        <v>4255.13</v>
      </c>
      <c r="H172" s="12" t="s">
        <v>261</v>
      </c>
      <c r="I172" s="6" t="s">
        <v>336</v>
      </c>
      <c r="M172" t="s">
        <v>261</v>
      </c>
      <c r="N172" t="s">
        <v>34</v>
      </c>
      <c r="O172" t="s">
        <v>35</v>
      </c>
      <c r="Q172" t="str">
        <f>_xlfn.XLOOKUP(Table1[[#This Row],[subtipo]],$C$192:$C$228,$D$192:$D$228,"",0)</f>
        <v/>
      </c>
    </row>
    <row r="173" spans="1:17" x14ac:dyDescent="0.35">
      <c r="A173" s="1" t="s">
        <v>247</v>
      </c>
      <c r="B173" t="s">
        <v>17</v>
      </c>
      <c r="C173" t="s">
        <v>42</v>
      </c>
      <c r="E173" t="s">
        <v>261</v>
      </c>
      <c r="F173" s="3" t="s">
        <v>433</v>
      </c>
      <c r="G173" s="4">
        <v>1779.22</v>
      </c>
      <c r="H173" s="12" t="s">
        <v>261</v>
      </c>
      <c r="I173" s="6" t="s">
        <v>261</v>
      </c>
      <c r="J173" s="6" t="s">
        <v>261</v>
      </c>
      <c r="K173" s="6" t="s">
        <v>261</v>
      </c>
      <c r="M173" t="s">
        <v>261</v>
      </c>
      <c r="N173" t="s">
        <v>434</v>
      </c>
      <c r="O173" t="s">
        <v>44</v>
      </c>
      <c r="Q173" t="str">
        <f>_xlfn.XLOOKUP(Table1[[#This Row],[subtipo]],$C$192:$C$228,$D$192:$D$228,"",0)</f>
        <v/>
      </c>
    </row>
    <row r="174" spans="1:17" x14ac:dyDescent="0.35">
      <c r="A174" s="1" t="s">
        <v>248</v>
      </c>
      <c r="B174" t="s">
        <v>33</v>
      </c>
      <c r="C174" t="s">
        <v>33</v>
      </c>
      <c r="G174" s="11">
        <v>4234.68</v>
      </c>
      <c r="H174" s="12" t="s">
        <v>261</v>
      </c>
      <c r="I174" s="6" t="s">
        <v>336</v>
      </c>
      <c r="M174" t="s">
        <v>261</v>
      </c>
      <c r="N174" t="s">
        <v>34</v>
      </c>
      <c r="O174" t="s">
        <v>35</v>
      </c>
      <c r="Q174" t="str">
        <f>_xlfn.XLOOKUP(Table1[[#This Row],[subtipo]],$C$192:$C$228,$D$192:$D$228,"",0)</f>
        <v/>
      </c>
    </row>
    <row r="175" spans="1:17" x14ac:dyDescent="0.35">
      <c r="A175" s="1" t="s">
        <v>249</v>
      </c>
      <c r="B175" t="s">
        <v>17</v>
      </c>
      <c r="C175" t="s">
        <v>42</v>
      </c>
      <c r="E175" t="s">
        <v>261</v>
      </c>
      <c r="F175" s="3" t="s">
        <v>433</v>
      </c>
      <c r="G175" s="4">
        <v>1287.17</v>
      </c>
      <c r="H175" s="12" t="s">
        <v>261</v>
      </c>
      <c r="I175" s="6" t="s">
        <v>261</v>
      </c>
      <c r="J175" s="6" t="s">
        <v>261</v>
      </c>
      <c r="K175" s="6" t="s">
        <v>261</v>
      </c>
      <c r="M175" t="s">
        <v>261</v>
      </c>
      <c r="N175" t="s">
        <v>43</v>
      </c>
      <c r="O175" t="s">
        <v>44</v>
      </c>
      <c r="Q175" t="str">
        <f>_xlfn.XLOOKUP(Table1[[#This Row],[subtipo]],$C$192:$C$228,$D$192:$D$228,"",0)</f>
        <v/>
      </c>
    </row>
    <row r="176" spans="1:17" x14ac:dyDescent="0.35">
      <c r="A176" s="1" t="s">
        <v>250</v>
      </c>
      <c r="B176" t="s">
        <v>17</v>
      </c>
      <c r="C176" t="s">
        <v>42</v>
      </c>
      <c r="E176" t="s">
        <v>261</v>
      </c>
      <c r="F176" s="3" t="s">
        <v>433</v>
      </c>
      <c r="G176" s="4">
        <v>6883.2</v>
      </c>
      <c r="H176" s="12" t="s">
        <v>261</v>
      </c>
      <c r="I176" s="6" t="s">
        <v>261</v>
      </c>
      <c r="J176" s="6" t="s">
        <v>261</v>
      </c>
      <c r="K176" s="6" t="s">
        <v>261</v>
      </c>
      <c r="M176" t="s">
        <v>261</v>
      </c>
      <c r="N176" t="s">
        <v>43</v>
      </c>
      <c r="O176" t="s">
        <v>44</v>
      </c>
      <c r="Q176" t="str">
        <f>_xlfn.XLOOKUP(Table1[[#This Row],[subtipo]],$C$192:$C$228,$D$192:$D$228,"",0)</f>
        <v/>
      </c>
    </row>
    <row r="177" spans="1:17" x14ac:dyDescent="0.35">
      <c r="A177" s="1" t="s">
        <v>251</v>
      </c>
      <c r="B177" t="s">
        <v>17</v>
      </c>
      <c r="C177" t="s">
        <v>42</v>
      </c>
      <c r="F177" t="s">
        <v>326</v>
      </c>
      <c r="G177" s="11">
        <v>1272.03</v>
      </c>
      <c r="H177" s="12" t="s">
        <v>261</v>
      </c>
      <c r="I177" s="6" t="s">
        <v>19</v>
      </c>
      <c r="K177" s="7">
        <v>45292</v>
      </c>
      <c r="N177" t="s">
        <v>43</v>
      </c>
      <c r="O177" t="s">
        <v>44</v>
      </c>
      <c r="Q177" t="str">
        <f>_xlfn.XLOOKUP(Table1[[#This Row],[subtipo]],$C$192:$C$228,$D$192:$D$228,"",0)</f>
        <v/>
      </c>
    </row>
    <row r="178" spans="1:17" x14ac:dyDescent="0.35">
      <c r="A178" s="1" t="s">
        <v>252</v>
      </c>
      <c r="B178" t="s">
        <v>33</v>
      </c>
      <c r="C178" t="s">
        <v>33</v>
      </c>
      <c r="G178" s="11">
        <v>9658.4</v>
      </c>
      <c r="H178" s="12" t="s">
        <v>261</v>
      </c>
      <c r="I178" s="6" t="s">
        <v>429</v>
      </c>
      <c r="M178" t="s">
        <v>261</v>
      </c>
      <c r="N178" t="s">
        <v>34</v>
      </c>
      <c r="O178" t="s">
        <v>35</v>
      </c>
      <c r="Q178" t="str">
        <f>_xlfn.XLOOKUP(Table1[[#This Row],[subtipo]],$C$192:$C$228,$D$192:$D$228,"",0)</f>
        <v/>
      </c>
    </row>
    <row r="179" spans="1:17" x14ac:dyDescent="0.35">
      <c r="A179" s="1" t="s">
        <v>253</v>
      </c>
      <c r="B179" t="s">
        <v>33</v>
      </c>
      <c r="C179" t="s">
        <v>33</v>
      </c>
      <c r="G179" s="11">
        <v>9624.69</v>
      </c>
      <c r="H179" s="12" t="s">
        <v>261</v>
      </c>
      <c r="I179" s="6" t="s">
        <v>429</v>
      </c>
      <c r="M179" t="s">
        <v>261</v>
      </c>
      <c r="N179" t="s">
        <v>34</v>
      </c>
      <c r="O179" t="s">
        <v>35</v>
      </c>
      <c r="Q179" t="str">
        <f>_xlfn.XLOOKUP(Table1[[#This Row],[subtipo]],$C$192:$C$228,$D$192:$D$228,"",0)</f>
        <v/>
      </c>
    </row>
    <row r="180" spans="1:17" x14ac:dyDescent="0.35">
      <c r="A180" s="1" t="s">
        <v>254</v>
      </c>
      <c r="B180" t="s">
        <v>17</v>
      </c>
      <c r="C180" t="s">
        <v>447</v>
      </c>
      <c r="E180" t="s">
        <v>261</v>
      </c>
      <c r="F180" t="s">
        <v>261</v>
      </c>
      <c r="G180" s="11">
        <v>389.09</v>
      </c>
      <c r="H180" s="12" t="s">
        <v>261</v>
      </c>
      <c r="I180" s="6" t="s">
        <v>261</v>
      </c>
      <c r="J180" s="6" t="s">
        <v>261</v>
      </c>
      <c r="K180" s="6" t="s">
        <v>261</v>
      </c>
      <c r="M180" t="s">
        <v>261</v>
      </c>
      <c r="Q180" t="str">
        <f>_xlfn.XLOOKUP(Table1[[#This Row],[subtipo]],$C$192:$C$228,$D$192:$D$228,"",0)</f>
        <v/>
      </c>
    </row>
    <row r="181" spans="1:17" x14ac:dyDescent="0.35">
      <c r="A181" s="1" t="s">
        <v>255</v>
      </c>
      <c r="B181" t="s">
        <v>17</v>
      </c>
      <c r="C181" t="s">
        <v>447</v>
      </c>
      <c r="E181" t="s">
        <v>261</v>
      </c>
      <c r="F181" t="s">
        <v>261</v>
      </c>
      <c r="G181" s="11">
        <v>640.65</v>
      </c>
      <c r="H181" s="12" t="s">
        <v>261</v>
      </c>
      <c r="I181" s="6" t="s">
        <v>261</v>
      </c>
      <c r="J181" s="6" t="s">
        <v>261</v>
      </c>
      <c r="K181" s="6" t="s">
        <v>261</v>
      </c>
      <c r="M181" t="s">
        <v>261</v>
      </c>
      <c r="Q181" t="str">
        <f>_xlfn.XLOOKUP(Table1[[#This Row],[subtipo]],$C$192:$C$228,$D$192:$D$228,"",0)</f>
        <v/>
      </c>
    </row>
    <row r="182" spans="1:17" x14ac:dyDescent="0.35">
      <c r="A182" s="1" t="s">
        <v>256</v>
      </c>
      <c r="B182" t="s">
        <v>17</v>
      </c>
      <c r="C182" t="s">
        <v>447</v>
      </c>
      <c r="E182" t="s">
        <v>261</v>
      </c>
      <c r="F182" t="s">
        <v>261</v>
      </c>
      <c r="G182" s="11">
        <v>401.12</v>
      </c>
      <c r="H182" s="12" t="s">
        <v>261</v>
      </c>
      <c r="I182" s="6" t="s">
        <v>261</v>
      </c>
      <c r="J182" s="6" t="s">
        <v>261</v>
      </c>
      <c r="K182" s="6" t="s">
        <v>261</v>
      </c>
      <c r="M182" t="s">
        <v>261</v>
      </c>
      <c r="Q182" t="str">
        <f>_xlfn.XLOOKUP(Table1[[#This Row],[subtipo]],$C$192:$C$228,$D$192:$D$228,"",0)</f>
        <v/>
      </c>
    </row>
    <row r="183" spans="1:17" x14ac:dyDescent="0.35">
      <c r="A183" s="1" t="s">
        <v>257</v>
      </c>
      <c r="B183" t="s">
        <v>17</v>
      </c>
      <c r="C183" t="s">
        <v>447</v>
      </c>
      <c r="E183" t="s">
        <v>261</v>
      </c>
      <c r="F183" t="s">
        <v>261</v>
      </c>
      <c r="G183" s="11">
        <v>380</v>
      </c>
      <c r="H183" s="12" t="s">
        <v>261</v>
      </c>
      <c r="I183" s="6" t="s">
        <v>261</v>
      </c>
      <c r="J183" s="6" t="s">
        <v>261</v>
      </c>
      <c r="K183" s="6" t="s">
        <v>261</v>
      </c>
      <c r="M183" t="s">
        <v>261</v>
      </c>
      <c r="Q183" t="str">
        <f>_xlfn.XLOOKUP(Table1[[#This Row],[subtipo]],$C$192:$C$228,$D$192:$D$228,"",0)</f>
        <v/>
      </c>
    </row>
    <row r="184" spans="1:17" x14ac:dyDescent="0.35">
      <c r="A184" s="1"/>
      <c r="B184" t="s">
        <v>27</v>
      </c>
      <c r="C184" t="s">
        <v>27</v>
      </c>
      <c r="E184" t="s">
        <v>387</v>
      </c>
      <c r="F184" s="10" t="s">
        <v>440</v>
      </c>
      <c r="H184" s="12">
        <v>336</v>
      </c>
      <c r="I184" s="6" t="s">
        <v>356</v>
      </c>
      <c r="Q184" t="str">
        <f>_xlfn.XLOOKUP(Table1[[#This Row],[subtipo]],$C$192:$C$228,$D$192:$D$228,"",0)</f>
        <v/>
      </c>
    </row>
  </sheetData>
  <conditionalFormatting sqref="A1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58D32B18DD85479881024DF1B1560C" ma:contentTypeVersion="24" ma:contentTypeDescription="Crear nuevo documento." ma:contentTypeScope="" ma:versionID="524f7d240854354362b8233c65931178">
  <xsd:schema xmlns:xsd="http://www.w3.org/2001/XMLSchema" xmlns:xs="http://www.w3.org/2001/XMLSchema" xmlns:p="http://schemas.microsoft.com/office/2006/metadata/properties" xmlns:ns1="http://schemas.microsoft.com/sharepoint/v3" xmlns:ns2="67842d5e-ae6d-4c89-a872-a2ee0755ec95" xmlns:ns3="a1875003-4be3-4a6e-8a8c-096c5e566ae9" xmlns:ns4="da4bd983-6116-4324-b7f3-01d16dca807e" xmlns:ns5="aede6c6b-3004-496c-ae85-a12871320d3d" targetNamespace="http://schemas.microsoft.com/office/2006/metadata/properties" ma:root="true" ma:fieldsID="55032e698abcaccc451929658460aefc" ns1:_="" ns2:_="" ns3:_="" ns4:_="" ns5:_="">
    <xsd:import namespace="http://schemas.microsoft.com/sharepoint/v3"/>
    <xsd:import namespace="67842d5e-ae6d-4c89-a872-a2ee0755ec95"/>
    <xsd:import namespace="a1875003-4be3-4a6e-8a8c-096c5e566ae9"/>
    <xsd:import namespace="da4bd983-6116-4324-b7f3-01d16dca807e"/>
    <xsd:import namespace="aede6c6b-3004-496c-ae85-a12871320d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42d5e-ae6d-4c89-a872-a2ee0755ec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75003-4be3-4a6e-8a8c-096c5e566ae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d84b6a1-61d2-4825-be3a-9ba6e50d62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bd983-6116-4324-b7f3-01d16dca807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e6c6b-3004-496c-ae85-a12871320d3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7c85496-5b20-4be8-b0d5-b14fab14e5ee}" ma:internalName="TaxCatchAll" ma:showField="CatchAllData" ma:web="aede6c6b-3004-496c-ae85-a12871320d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ede6c6b-3004-496c-ae85-a12871320d3d" xsi:nil="true"/>
    <lcf76f155ced4ddcb4097134ff3c332f xmlns="a1875003-4be3-4a6e-8a8c-096c5e566ae9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3EEE7B8-D160-4523-8ABA-43246DAF4C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842d5e-ae6d-4c89-a872-a2ee0755ec95"/>
    <ds:schemaRef ds:uri="a1875003-4be3-4a6e-8a8c-096c5e566ae9"/>
    <ds:schemaRef ds:uri="da4bd983-6116-4324-b7f3-01d16dca807e"/>
    <ds:schemaRef ds:uri="aede6c6b-3004-496c-ae85-a12871320d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BF0863-22B1-46A5-8A8D-F0779BF648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57A372-3F9A-4F35-AD47-B91E1266D57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ede6c6b-3004-496c-ae85-a12871320d3d"/>
    <ds:schemaRef ds:uri="a1875003-4be3-4a6e-8a8c-096c5e566a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Marte</cp:lastModifiedBy>
  <cp:revision/>
  <dcterms:created xsi:type="dcterms:W3CDTF">2025-12-17T23:22:25Z</dcterms:created>
  <dcterms:modified xsi:type="dcterms:W3CDTF">2025-12-18T02:47:13Z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0x0101001758D32B18DD85479881024DF1B1560C</vt:lpwstr>
  </property>
  <property fmtid="{D5CDD505-2E9C-101B-9397-08002B2CF9AE}" pid="3" name="MediaServiceImageTags">
    <vt:lpwstr/>
  </property>
</Properties>
</file>