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3"/>
    <sheet name="Resumen por calle" sheetId="2" state="visible" r:id="rId4"/>
    <sheet name="Por revisar con Verasol" sheetId="3" state="visible" r:id="rId5"/>
    <sheet name="Metodología" sheetId="4" state="visible" r:id="rId6"/>
  </sheets>
  <definedNames>
    <definedName function="false" hidden="true" localSheetId="0" name="_xlnm._FilterDatabase" vbProcedure="false">Inventario!$A$5:$Q$478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<sst xmlns="http://schemas.openxmlformats.org/spreadsheetml/2006/main" count="3464" uniqueCount="718">
  <si>
    <t xml:space="preserve">Inventario de activos de ciudad · Imbornales de Ciudad Juan Bosch</t>
  </si>
  <si>
    <t xml:space="preserve">Fuente: levantamiento de Verasol (27/07/2026) · Coordenadas UTM 19N (WGS 84) · FIDEICOMISO PARA LA CONSTRUCCIÓN DE VIVIENDAS DE BAJO COSTO (FIDEICOMISO VBC RD)</t>
  </si>
  <si>
    <t xml:space="preserve">473 imbornales · un clic en «Ver ↗» abre el punto en Google Maps · las observaciones señalan datos a confirmar con Verasol</t>
  </si>
  <si>
    <t xml:space="preserve">ID</t>
  </si>
  <si>
    <t xml:space="preserve">Tipo</t>
  </si>
  <si>
    <t xml:space="preserve">Ubicación</t>
  </si>
  <si>
    <t xml:space="preserve">Calle</t>
  </si>
  <si>
    <t xml:space="preserve">Lote donde está</t>
  </si>
  <si>
    <t xml:space="preserve">Nombre del lote</t>
  </si>
  <si>
    <t xml:space="preserve">Lote más cercano</t>
  </si>
  <si>
    <t xml:space="preserve">Distancia al lote (m)</t>
  </si>
  <si>
    <t xml:space="preserve">Cota (m)</t>
  </si>
  <si>
    <t xml:space="preserve">UTM Este</t>
  </si>
  <si>
    <t xml:space="preserve">UTM Norte</t>
  </si>
  <si>
    <t xml:space="preserve">Latitud</t>
  </si>
  <si>
    <t xml:space="preserve">Longitud</t>
  </si>
  <si>
    <t xml:space="preserve">No. en levantamiento</t>
  </si>
  <si>
    <t xml:space="preserve">Tipo anotado</t>
  </si>
  <si>
    <t xml:space="preserve">Observaciones</t>
  </si>
  <si>
    <t xml:space="preserve">Mapa</t>
  </si>
  <si>
    <t xml:space="preserve">IMB-001</t>
  </si>
  <si>
    <t xml:space="preserve">Filtrante doble</t>
  </si>
  <si>
    <t xml:space="preserve">Calle Prof. Juan Bosch</t>
  </si>
  <si>
    <t xml:space="preserve">09-32-03</t>
  </si>
  <si>
    <t xml:space="preserve">filtrante doble</t>
  </si>
  <si>
    <t xml:space="preserve">Ver ↗</t>
  </si>
  <si>
    <t xml:space="preserve">IMB-002</t>
  </si>
  <si>
    <t xml:space="preserve">IMB-003</t>
  </si>
  <si>
    <t xml:space="preserve">IMB-004</t>
  </si>
  <si>
    <t xml:space="preserve">Dentro de lote</t>
  </si>
  <si>
    <t xml:space="preserve">Centro de Atención Primaria</t>
  </si>
  <si>
    <t xml:space="preserve">IMB-005</t>
  </si>
  <si>
    <t xml:space="preserve">07-35-02</t>
  </si>
  <si>
    <t xml:space="preserve">IMB-006</t>
  </si>
  <si>
    <t xml:space="preserve">IMB-007</t>
  </si>
  <si>
    <t xml:space="preserve">Avenida El Sembrador</t>
  </si>
  <si>
    <t xml:space="preserve">07-31-06</t>
  </si>
  <si>
    <t xml:space="preserve">IMB-008</t>
  </si>
  <si>
    <t xml:space="preserve">Filtrante simple</t>
  </si>
  <si>
    <t xml:space="preserve">07-35-06</t>
  </si>
  <si>
    <t xml:space="preserve">filtrante</t>
  </si>
  <si>
    <t xml:space="preserve">IMB-009</t>
  </si>
  <si>
    <t xml:space="preserve">IMB-010</t>
  </si>
  <si>
    <t xml:space="preserve">07-31-02</t>
  </si>
  <si>
    <t xml:space="preserve">IMB-011</t>
  </si>
  <si>
    <t xml:space="preserve">06-26-01</t>
  </si>
  <si>
    <t xml:space="preserve">IMB-012</t>
  </si>
  <si>
    <t xml:space="preserve">IMB-013</t>
  </si>
  <si>
    <t xml:space="preserve">IMB-014</t>
  </si>
  <si>
    <t xml:space="preserve">04-40-02</t>
  </si>
  <si>
    <t xml:space="preserve">IMB-015</t>
  </si>
  <si>
    <t xml:space="preserve">04-39-01</t>
  </si>
  <si>
    <t xml:space="preserve">IMB-016</t>
  </si>
  <si>
    <t xml:space="preserve">IMB-017</t>
  </si>
  <si>
    <t xml:space="preserve">04-12-05</t>
  </si>
  <si>
    <t xml:space="preserve">IMB-018</t>
  </si>
  <si>
    <t xml:space="preserve">IMB-019</t>
  </si>
  <si>
    <t xml:space="preserve">IMB-020</t>
  </si>
  <si>
    <t xml:space="preserve">04-12-04</t>
  </si>
  <si>
    <t xml:space="preserve">IMB-021</t>
  </si>
  <si>
    <t xml:space="preserve">IMB-022</t>
  </si>
  <si>
    <t xml:space="preserve">04-12-02</t>
  </si>
  <si>
    <t xml:space="preserve">IMB-023</t>
  </si>
  <si>
    <t xml:space="preserve">01-01-07</t>
  </si>
  <si>
    <t xml:space="preserve">IMB-024</t>
  </si>
  <si>
    <t xml:space="preserve">01-01-09</t>
  </si>
  <si>
    <t xml:space="preserve">IMB-025</t>
  </si>
  <si>
    <t xml:space="preserve">IMB-026</t>
  </si>
  <si>
    <t xml:space="preserve">01-01-08</t>
  </si>
  <si>
    <t xml:space="preserve">IMB-027</t>
  </si>
  <si>
    <t xml:space="preserve">01-01-06</t>
  </si>
  <si>
    <t xml:space="preserve">IMB-028</t>
  </si>
  <si>
    <t xml:space="preserve">01-01-04</t>
  </si>
  <si>
    <t xml:space="preserve">IMB-029</t>
  </si>
  <si>
    <t xml:space="preserve">01-01-03</t>
  </si>
  <si>
    <t xml:space="preserve">IMB-030</t>
  </si>
  <si>
    <t xml:space="preserve">IMB-031</t>
  </si>
  <si>
    <t xml:space="preserve">Misma coordenada que IMB-032: posible registro duplicado.</t>
  </si>
  <si>
    <t xml:space="preserve">IMB-032</t>
  </si>
  <si>
    <t xml:space="preserve">Misma coordenada que IMB-031: posible registro duplicado.</t>
  </si>
  <si>
    <t xml:space="preserve">IMB-033</t>
  </si>
  <si>
    <t xml:space="preserve">01-01-02</t>
  </si>
  <si>
    <t xml:space="preserve">IMB-034</t>
  </si>
  <si>
    <t xml:space="preserve">01-02-01</t>
  </si>
  <si>
    <t xml:space="preserve">IMB-035</t>
  </si>
  <si>
    <t xml:space="preserve">01-02-04</t>
  </si>
  <si>
    <t xml:space="preserve">IMB-036</t>
  </si>
  <si>
    <t xml:space="preserve">IMB-037</t>
  </si>
  <si>
    <t xml:space="preserve">Calle la muchacha de la Guaira</t>
  </si>
  <si>
    <t xml:space="preserve">01-02-05</t>
  </si>
  <si>
    <t xml:space="preserve">IMB-038</t>
  </si>
  <si>
    <t xml:space="preserve">01-03-01</t>
  </si>
  <si>
    <t xml:space="preserve">IMB-039</t>
  </si>
  <si>
    <t xml:space="preserve">IMB-040</t>
  </si>
  <si>
    <t xml:space="preserve">04-11-05</t>
  </si>
  <si>
    <t xml:space="preserve">IMB-041</t>
  </si>
  <si>
    <t xml:space="preserve">04-11-03</t>
  </si>
  <si>
    <t xml:space="preserve">IMB-042</t>
  </si>
  <si>
    <t xml:space="preserve">04-15-01</t>
  </si>
  <si>
    <t xml:space="preserve">IMB-043</t>
  </si>
  <si>
    <t xml:space="preserve">IMB-044</t>
  </si>
  <si>
    <t xml:space="preserve">04-16-01</t>
  </si>
  <si>
    <t xml:space="preserve">IMB-045</t>
  </si>
  <si>
    <t xml:space="preserve">IMB-046</t>
  </si>
  <si>
    <t xml:space="preserve">Calle Papa Juan</t>
  </si>
  <si>
    <t xml:space="preserve">05-19-01</t>
  </si>
  <si>
    <t xml:space="preserve">IMB-047</t>
  </si>
  <si>
    <t xml:space="preserve">IMB-048</t>
  </si>
  <si>
    <t xml:space="preserve">05-19-07</t>
  </si>
  <si>
    <t xml:space="preserve">IMB-049</t>
  </si>
  <si>
    <t xml:space="preserve">IMB-050</t>
  </si>
  <si>
    <t xml:space="preserve">IMB-051</t>
  </si>
  <si>
    <t xml:space="preserve">Boulevard La Mujer</t>
  </si>
  <si>
    <t xml:space="preserve">IMB-052</t>
  </si>
  <si>
    <t xml:space="preserve">IMB-053</t>
  </si>
  <si>
    <t xml:space="preserve">IMB-054</t>
  </si>
  <si>
    <t xml:space="preserve">IMB-055</t>
  </si>
  <si>
    <t xml:space="preserve">IMB-056</t>
  </si>
  <si>
    <t xml:space="preserve">IMB-057</t>
  </si>
  <si>
    <t xml:space="preserve">IMB-058</t>
  </si>
  <si>
    <t xml:space="preserve">IMB-059</t>
  </si>
  <si>
    <t xml:space="preserve">IMB-060</t>
  </si>
  <si>
    <t xml:space="preserve">IMB-061</t>
  </si>
  <si>
    <t xml:space="preserve">IMB-062</t>
  </si>
  <si>
    <t xml:space="preserve">IMB-063</t>
  </si>
  <si>
    <t xml:space="preserve">IMB-064</t>
  </si>
  <si>
    <t xml:space="preserve">Calle La Mañosa Este</t>
  </si>
  <si>
    <t xml:space="preserve">IMB-065</t>
  </si>
  <si>
    <t xml:space="preserve">07-35-07</t>
  </si>
  <si>
    <t xml:space="preserve">IMB-066</t>
  </si>
  <si>
    <t xml:space="preserve">Calle Fragata</t>
  </si>
  <si>
    <t xml:space="preserve">07-31-05</t>
  </si>
  <si>
    <t xml:space="preserve">IMB-067</t>
  </si>
  <si>
    <t xml:space="preserve">07-35-03</t>
  </si>
  <si>
    <t xml:space="preserve">IMB-068</t>
  </si>
  <si>
    <t xml:space="preserve">IMB-069</t>
  </si>
  <si>
    <t xml:space="preserve">07-35-01</t>
  </si>
  <si>
    <t xml:space="preserve">IMB-070</t>
  </si>
  <si>
    <t xml:space="preserve">IMB-071</t>
  </si>
  <si>
    <t xml:space="preserve">Calle Navidad Este</t>
  </si>
  <si>
    <t xml:space="preserve">07-30-05</t>
  </si>
  <si>
    <t xml:space="preserve">IMB-072</t>
  </si>
  <si>
    <t xml:space="preserve">07-31-04</t>
  </si>
  <si>
    <t xml:space="preserve">IMB-073</t>
  </si>
  <si>
    <t xml:space="preserve">07-30-04</t>
  </si>
  <si>
    <t xml:space="preserve">IMB-074</t>
  </si>
  <si>
    <t xml:space="preserve">07-31-03</t>
  </si>
  <si>
    <t xml:space="preserve">IMB-075</t>
  </si>
  <si>
    <t xml:space="preserve">07-30-03</t>
  </si>
  <si>
    <t xml:space="preserve">IMB-076</t>
  </si>
  <si>
    <t xml:space="preserve">Boulevard el Oro y la Paz</t>
  </si>
  <si>
    <t xml:space="preserve">07-31-01</t>
  </si>
  <si>
    <t xml:space="preserve">IMB-077</t>
  </si>
  <si>
    <t xml:space="preserve">IMB-078</t>
  </si>
  <si>
    <t xml:space="preserve">IMB-079</t>
  </si>
  <si>
    <t xml:space="preserve">IMB-080</t>
  </si>
  <si>
    <t xml:space="preserve">IMB-081</t>
  </si>
  <si>
    <t xml:space="preserve">06-25-02</t>
  </si>
  <si>
    <t xml:space="preserve">IMB-082</t>
  </si>
  <si>
    <t xml:space="preserve">06-26-04</t>
  </si>
  <si>
    <t xml:space="preserve">IMB-083</t>
  </si>
  <si>
    <t xml:space="preserve">06-25-03</t>
  </si>
  <si>
    <t xml:space="preserve">IMB-084</t>
  </si>
  <si>
    <t xml:space="preserve">06-26-03</t>
  </si>
  <si>
    <t xml:space="preserve">IMB-085</t>
  </si>
  <si>
    <t xml:space="preserve">06-26-02</t>
  </si>
  <si>
    <t xml:space="preserve">IMB-086</t>
  </si>
  <si>
    <t xml:space="preserve">06-25-01</t>
  </si>
  <si>
    <t xml:space="preserve">IMB-087</t>
  </si>
  <si>
    <t xml:space="preserve">IMB-088</t>
  </si>
  <si>
    <t xml:space="preserve">IMB-089</t>
  </si>
  <si>
    <t xml:space="preserve">05-19-06</t>
  </si>
  <si>
    <t xml:space="preserve">IMB-090</t>
  </si>
  <si>
    <t xml:space="preserve">IMB-091</t>
  </si>
  <si>
    <t xml:space="preserve">IMB-092</t>
  </si>
  <si>
    <t xml:space="preserve">IMB-093</t>
  </si>
  <si>
    <t xml:space="preserve">IMB-094</t>
  </si>
  <si>
    <t xml:space="preserve">05-19-05</t>
  </si>
  <si>
    <t xml:space="preserve">IMB-095</t>
  </si>
  <si>
    <t xml:space="preserve">IMB-096</t>
  </si>
  <si>
    <t xml:space="preserve">IMB-097</t>
  </si>
  <si>
    <t xml:space="preserve">IMB-098</t>
  </si>
  <si>
    <t xml:space="preserve">IMB-099</t>
  </si>
  <si>
    <t xml:space="preserve">IMB-100</t>
  </si>
  <si>
    <t xml:space="preserve">05-19-04</t>
  </si>
  <si>
    <t xml:space="preserve">IMB-101</t>
  </si>
  <si>
    <t xml:space="preserve">IMB-102</t>
  </si>
  <si>
    <t xml:space="preserve">IMB-103</t>
  </si>
  <si>
    <t xml:space="preserve">00-21-01</t>
  </si>
  <si>
    <t xml:space="preserve">IMB-104</t>
  </si>
  <si>
    <t xml:space="preserve">00-24-01</t>
  </si>
  <si>
    <t xml:space="preserve">IMB-105</t>
  </si>
  <si>
    <t xml:space="preserve">Avenida Camino Real Nor Oeste</t>
  </si>
  <si>
    <t xml:space="preserve">IMB-106</t>
  </si>
  <si>
    <t xml:space="preserve">08-23-01</t>
  </si>
  <si>
    <t xml:space="preserve">IMB-107</t>
  </si>
  <si>
    <t xml:space="preserve">IMB-108</t>
  </si>
  <si>
    <t xml:space="preserve">05-20-08</t>
  </si>
  <si>
    <t xml:space="preserve">IMB-109</t>
  </si>
  <si>
    <t xml:space="preserve">Avenida La Gaviota Tramo 1</t>
  </si>
  <si>
    <t xml:space="preserve">IMB-110</t>
  </si>
  <si>
    <t xml:space="preserve">08-22-01</t>
  </si>
  <si>
    <t xml:space="preserve">IMB-111</t>
  </si>
  <si>
    <t xml:space="preserve">IMB-112</t>
  </si>
  <si>
    <t xml:space="preserve">IMB-113</t>
  </si>
  <si>
    <t xml:space="preserve">08-22-03</t>
  </si>
  <si>
    <t xml:space="preserve">IMB-114</t>
  </si>
  <si>
    <t xml:space="preserve">08-22-02</t>
  </si>
  <si>
    <t xml:space="preserve">IMB-115</t>
  </si>
  <si>
    <t xml:space="preserve">IMB-116</t>
  </si>
  <si>
    <t xml:space="preserve">IMB-117</t>
  </si>
  <si>
    <t xml:space="preserve">IMB-118</t>
  </si>
  <si>
    <t xml:space="preserve">08-22-04</t>
  </si>
  <si>
    <t xml:space="preserve">IMB-119</t>
  </si>
  <si>
    <t xml:space="preserve">IMB-120</t>
  </si>
  <si>
    <t xml:space="preserve">08-23-02</t>
  </si>
  <si>
    <t xml:space="preserve">IMB-121</t>
  </si>
  <si>
    <t xml:space="preserve">00-24-03</t>
  </si>
  <si>
    <t xml:space="preserve">IMB-122</t>
  </si>
  <si>
    <t xml:space="preserve">IMB-123</t>
  </si>
  <si>
    <t xml:space="preserve">IMB-124</t>
  </si>
  <si>
    <t xml:space="preserve">IMB-125</t>
  </si>
  <si>
    <t xml:space="preserve">00-29-01</t>
  </si>
  <si>
    <t xml:space="preserve">IMB-126</t>
  </si>
  <si>
    <t xml:space="preserve">IMB-127</t>
  </si>
  <si>
    <t xml:space="preserve">09-28-01</t>
  </si>
  <si>
    <t xml:space="preserve">IMB-128</t>
  </si>
  <si>
    <t xml:space="preserve">IMB-129</t>
  </si>
  <si>
    <t xml:space="preserve">Avenida Camino Real Sur Oeste</t>
  </si>
  <si>
    <t xml:space="preserve">09-28-02</t>
  </si>
  <si>
    <t xml:space="preserve">IMB-130</t>
  </si>
  <si>
    <t xml:space="preserve">IMB-131</t>
  </si>
  <si>
    <t xml:space="preserve">09-32-01</t>
  </si>
  <si>
    <t xml:space="preserve">IMB-132</t>
  </si>
  <si>
    <t xml:space="preserve">00-34-01</t>
  </si>
  <si>
    <t xml:space="preserve">IMB-133</t>
  </si>
  <si>
    <t xml:space="preserve">IMB-134</t>
  </si>
  <si>
    <t xml:space="preserve">00-34-04</t>
  </si>
  <si>
    <t xml:space="preserve">IMB-135</t>
  </si>
  <si>
    <t xml:space="preserve">Avenida Camino Real Sur Este</t>
  </si>
  <si>
    <t xml:space="preserve">IMB-136</t>
  </si>
  <si>
    <t xml:space="preserve">00-34-05</t>
  </si>
  <si>
    <t xml:space="preserve">IMB-137</t>
  </si>
  <si>
    <t xml:space="preserve">IMB-138</t>
  </si>
  <si>
    <t xml:space="preserve">00-34-03</t>
  </si>
  <si>
    <t xml:space="preserve">IMB-139</t>
  </si>
  <si>
    <t xml:space="preserve">IMB-140</t>
  </si>
  <si>
    <t xml:space="preserve">IMB-141</t>
  </si>
  <si>
    <t xml:space="preserve">07-30-02</t>
  </si>
  <si>
    <t xml:space="preserve">IMB-142</t>
  </si>
  <si>
    <t xml:space="preserve">IMB-143</t>
  </si>
  <si>
    <t xml:space="preserve">IMB-144</t>
  </si>
  <si>
    <t xml:space="preserve">IMB-145</t>
  </si>
  <si>
    <t xml:space="preserve">IMB-146</t>
  </si>
  <si>
    <t xml:space="preserve">IMB-147</t>
  </si>
  <si>
    <t xml:space="preserve">IMB-148</t>
  </si>
  <si>
    <t xml:space="preserve">07-30-01</t>
  </si>
  <si>
    <t xml:space="preserve">IMB-149</t>
  </si>
  <si>
    <t xml:space="preserve">IMB-150</t>
  </si>
  <si>
    <t xml:space="preserve">IMB-151</t>
  </si>
  <si>
    <t xml:space="preserve">IMB-152</t>
  </si>
  <si>
    <t xml:space="preserve">IMB-153</t>
  </si>
  <si>
    <t xml:space="preserve">IMB-154</t>
  </si>
  <si>
    <t xml:space="preserve">IMB-155</t>
  </si>
  <si>
    <t xml:space="preserve">IMB-156</t>
  </si>
  <si>
    <t xml:space="preserve">Avenida Camino Real Nor Este</t>
  </si>
  <si>
    <t xml:space="preserve">IMB-157</t>
  </si>
  <si>
    <t xml:space="preserve">IMB-158</t>
  </si>
  <si>
    <t xml:space="preserve">IMB-159</t>
  </si>
  <si>
    <t xml:space="preserve">IMB-160</t>
  </si>
  <si>
    <t xml:space="preserve">IMB-161</t>
  </si>
  <si>
    <t xml:space="preserve">IMB-162</t>
  </si>
  <si>
    <t xml:space="preserve">IMB-163</t>
  </si>
  <si>
    <t xml:space="preserve">05-20-04</t>
  </si>
  <si>
    <t xml:space="preserve">IMB-164</t>
  </si>
  <si>
    <t xml:space="preserve">IMB-165</t>
  </si>
  <si>
    <t xml:space="preserve">IMB-166</t>
  </si>
  <si>
    <t xml:space="preserve">IMB-167</t>
  </si>
  <si>
    <t xml:space="preserve">Filtrante tipo «A» (por confirmar)</t>
  </si>
  <si>
    <t xml:space="preserve">filtrante a</t>
  </si>
  <si>
    <t xml:space="preserve">Tipo «filtrante a» sin definición: confirmar con Verasol.</t>
  </si>
  <si>
    <t xml:space="preserve">IMB-168</t>
  </si>
  <si>
    <t xml:space="preserve">IMB-169</t>
  </si>
  <si>
    <t xml:space="preserve">IMB-170</t>
  </si>
  <si>
    <t xml:space="preserve">IMB-171</t>
  </si>
  <si>
    <t xml:space="preserve">08-23-04</t>
  </si>
  <si>
    <t xml:space="preserve">IMB-172</t>
  </si>
  <si>
    <t xml:space="preserve">08-23-03</t>
  </si>
  <si>
    <t xml:space="preserve">IMB-173</t>
  </si>
  <si>
    <t xml:space="preserve">08-22-05</t>
  </si>
  <si>
    <t xml:space="preserve">IMB-174</t>
  </si>
  <si>
    <t xml:space="preserve">IMB-175</t>
  </si>
  <si>
    <t xml:space="preserve">IMB-176</t>
  </si>
  <si>
    <t xml:space="preserve">IMB-177</t>
  </si>
  <si>
    <t xml:space="preserve">IMB-178</t>
  </si>
  <si>
    <t xml:space="preserve">IMB-179</t>
  </si>
  <si>
    <t xml:space="preserve">IMB-180</t>
  </si>
  <si>
    <t xml:space="preserve">IMB-181</t>
  </si>
  <si>
    <t xml:space="preserve">IMB-182</t>
  </si>
  <si>
    <t xml:space="preserve">IMB-183</t>
  </si>
  <si>
    <t xml:space="preserve">IMB-184</t>
  </si>
  <si>
    <t xml:space="preserve">IMB-185</t>
  </si>
  <si>
    <t xml:space="preserve">IMB-186</t>
  </si>
  <si>
    <t xml:space="preserve">IMB-187</t>
  </si>
  <si>
    <t xml:space="preserve">IMB-188</t>
  </si>
  <si>
    <t xml:space="preserve">09-27-01</t>
  </si>
  <si>
    <t xml:space="preserve">IMB-189</t>
  </si>
  <si>
    <t xml:space="preserve">IMB-190</t>
  </si>
  <si>
    <t xml:space="preserve">09-28-03</t>
  </si>
  <si>
    <t xml:space="preserve">IMB-191</t>
  </si>
  <si>
    <t xml:space="preserve">09-27-02</t>
  </si>
  <si>
    <t xml:space="preserve">IMB-192</t>
  </si>
  <si>
    <t xml:space="preserve">IMB-193</t>
  </si>
  <si>
    <t xml:space="preserve">09-27-03</t>
  </si>
  <si>
    <t xml:space="preserve">IMB-194</t>
  </si>
  <si>
    <t xml:space="preserve">IMB-195</t>
  </si>
  <si>
    <t xml:space="preserve">IMB-196</t>
  </si>
  <si>
    <t xml:space="preserve">IMB-197</t>
  </si>
  <si>
    <t xml:space="preserve">IMB-198</t>
  </si>
  <si>
    <t xml:space="preserve">IMB-199</t>
  </si>
  <si>
    <t xml:space="preserve">Calle La mañosa oeste</t>
  </si>
  <si>
    <t xml:space="preserve">IMB-200</t>
  </si>
  <si>
    <t xml:space="preserve">IMB-201</t>
  </si>
  <si>
    <t xml:space="preserve">IMB-202</t>
  </si>
  <si>
    <t xml:space="preserve">09-32-04</t>
  </si>
  <si>
    <t xml:space="preserve">IMB-203</t>
  </si>
  <si>
    <t xml:space="preserve">Calle Encarnacion Mendoza</t>
  </si>
  <si>
    <t xml:space="preserve">IMB-204</t>
  </si>
  <si>
    <t xml:space="preserve">IMB-205</t>
  </si>
  <si>
    <t xml:space="preserve">IMB-206</t>
  </si>
  <si>
    <t xml:space="preserve">IMB-207</t>
  </si>
  <si>
    <t xml:space="preserve">IMB-208</t>
  </si>
  <si>
    <t xml:space="preserve">IMB-209</t>
  </si>
  <si>
    <t xml:space="preserve">IMB-210</t>
  </si>
  <si>
    <t xml:space="preserve">IMB-211</t>
  </si>
  <si>
    <t xml:space="preserve">IMB-212</t>
  </si>
  <si>
    <t xml:space="preserve">IMB-213</t>
  </si>
  <si>
    <t xml:space="preserve">IMB-214</t>
  </si>
  <si>
    <t xml:space="preserve">IMB-215</t>
  </si>
  <si>
    <t xml:space="preserve">IMB-216</t>
  </si>
  <si>
    <t xml:space="preserve">IMB-217</t>
  </si>
  <si>
    <t xml:space="preserve">IMB-218</t>
  </si>
  <si>
    <t xml:space="preserve">IMB-219</t>
  </si>
  <si>
    <t xml:space="preserve">IMB-220</t>
  </si>
  <si>
    <t xml:space="preserve">filtrantedoble</t>
  </si>
  <si>
    <t xml:space="preserve">Tipo escrito «filtrantedoble»; se asumió filtrante doble.</t>
  </si>
  <si>
    <t xml:space="preserve">IMB-221</t>
  </si>
  <si>
    <t xml:space="preserve">IMB-222</t>
  </si>
  <si>
    <t xml:space="preserve">IMB-223</t>
  </si>
  <si>
    <t xml:space="preserve">IMB-224</t>
  </si>
  <si>
    <t xml:space="preserve">IMB-225</t>
  </si>
  <si>
    <t xml:space="preserve">IMB-226</t>
  </si>
  <si>
    <t xml:space="preserve">IMB-227</t>
  </si>
  <si>
    <t xml:space="preserve">IMB-228</t>
  </si>
  <si>
    <t xml:space="preserve">IMB-229</t>
  </si>
  <si>
    <t xml:space="preserve">IMB-230</t>
  </si>
  <si>
    <t xml:space="preserve">IMB-231</t>
  </si>
  <si>
    <t xml:space="preserve">IMB-232</t>
  </si>
  <si>
    <t xml:space="preserve">IMB-233</t>
  </si>
  <si>
    <t xml:space="preserve">IMB-234</t>
  </si>
  <si>
    <t xml:space="preserve">IMB-235</t>
  </si>
  <si>
    <t xml:space="preserve">IMB-236</t>
  </si>
  <si>
    <t xml:space="preserve">IMB-237</t>
  </si>
  <si>
    <t xml:space="preserve">IMB-238</t>
  </si>
  <si>
    <t xml:space="preserve">05-20-07</t>
  </si>
  <si>
    <t xml:space="preserve">filtrant</t>
  </si>
  <si>
    <t xml:space="preserve">Tipo escrito «filtrant» en el levantamiento; se asumió filtrante simple.</t>
  </si>
  <si>
    <t xml:space="preserve">IMB-239</t>
  </si>
  <si>
    <t xml:space="preserve">05-20-01</t>
  </si>
  <si>
    <t xml:space="preserve">IMB-240</t>
  </si>
  <si>
    <t xml:space="preserve">IMB-241</t>
  </si>
  <si>
    <t xml:space="preserve">IMB-242</t>
  </si>
  <si>
    <t xml:space="preserve">05-18-01</t>
  </si>
  <si>
    <t xml:space="preserve">Misma coordenada que IMB-243: posible registro duplicado.</t>
  </si>
  <si>
    <t xml:space="preserve">IMB-243</t>
  </si>
  <si>
    <t xml:space="preserve">Misma coordenada que IMB-242: posible registro duplicado.</t>
  </si>
  <si>
    <t xml:space="preserve">IMB-244</t>
  </si>
  <si>
    <t xml:space="preserve">IMB-245</t>
  </si>
  <si>
    <t xml:space="preserve">IMB-246</t>
  </si>
  <si>
    <t xml:space="preserve">IMB-247</t>
  </si>
  <si>
    <t xml:space="preserve">IMB-248</t>
  </si>
  <si>
    <t xml:space="preserve">05-17-01</t>
  </si>
  <si>
    <t xml:space="preserve">IMB-249</t>
  </si>
  <si>
    <t xml:space="preserve">IMB-250</t>
  </si>
  <si>
    <t xml:space="preserve">IMB-251</t>
  </si>
  <si>
    <t xml:space="preserve">IMB-252</t>
  </si>
  <si>
    <t xml:space="preserve">IMB-253</t>
  </si>
  <si>
    <t xml:space="preserve">IMB-254</t>
  </si>
  <si>
    <t xml:space="preserve">05-17-02</t>
  </si>
  <si>
    <t xml:space="preserve">IMB-255</t>
  </si>
  <si>
    <t xml:space="preserve">IMB-256</t>
  </si>
  <si>
    <t xml:space="preserve">IMB-257</t>
  </si>
  <si>
    <t xml:space="preserve">IMB-258</t>
  </si>
  <si>
    <t xml:space="preserve">IMB-259</t>
  </si>
  <si>
    <t xml:space="preserve">IMB-260</t>
  </si>
  <si>
    <t xml:space="preserve">IMB-261</t>
  </si>
  <si>
    <t xml:space="preserve">IMB-262</t>
  </si>
  <si>
    <t xml:space="preserve">IMB-263</t>
  </si>
  <si>
    <t xml:space="preserve">IMB-264</t>
  </si>
  <si>
    <t xml:space="preserve">IMB-265</t>
  </si>
  <si>
    <t xml:space="preserve">IMB-266</t>
  </si>
  <si>
    <t xml:space="preserve">IMB-267</t>
  </si>
  <si>
    <t xml:space="preserve">IMB-268</t>
  </si>
  <si>
    <t xml:space="preserve">IMB-269</t>
  </si>
  <si>
    <t xml:space="preserve">IMB-270</t>
  </si>
  <si>
    <t xml:space="preserve">IMB-271</t>
  </si>
  <si>
    <t xml:space="preserve">Calle Carmen Quidiello De Bosch</t>
  </si>
  <si>
    <t xml:space="preserve">IMB-272</t>
  </si>
  <si>
    <t xml:space="preserve">IMB-273</t>
  </si>
  <si>
    <t xml:space="preserve">IMB-274</t>
  </si>
  <si>
    <t xml:space="preserve">IMB-275</t>
  </si>
  <si>
    <t xml:space="preserve">IMB-276</t>
  </si>
  <si>
    <t xml:space="preserve">IMB-277</t>
  </si>
  <si>
    <t xml:space="preserve">IMB-278</t>
  </si>
  <si>
    <t xml:space="preserve">05-20-02</t>
  </si>
  <si>
    <t xml:space="preserve">IMB-279</t>
  </si>
  <si>
    <t xml:space="preserve">05-20-03</t>
  </si>
  <si>
    <t xml:space="preserve">IMB-280</t>
  </si>
  <si>
    <t xml:space="preserve">IMB-281</t>
  </si>
  <si>
    <t xml:space="preserve">05-19-02</t>
  </si>
  <si>
    <t xml:space="preserve">IMB-282</t>
  </si>
  <si>
    <t xml:space="preserve">IMB-283</t>
  </si>
  <si>
    <t xml:space="preserve">IMB-284</t>
  </si>
  <si>
    <t xml:space="preserve">IMB-285</t>
  </si>
  <si>
    <t xml:space="preserve">IMB-286</t>
  </si>
  <si>
    <t xml:space="preserve">IMB-287</t>
  </si>
  <si>
    <t xml:space="preserve">IMB-288</t>
  </si>
  <si>
    <t xml:space="preserve">IMB-289</t>
  </si>
  <si>
    <t xml:space="preserve">IMB-290</t>
  </si>
  <si>
    <t xml:space="preserve">IMB-291</t>
  </si>
  <si>
    <t xml:space="preserve">Calle Angela Gavino</t>
  </si>
  <si>
    <t xml:space="preserve">IMB-292</t>
  </si>
  <si>
    <t xml:space="preserve">IMB-293</t>
  </si>
  <si>
    <t xml:space="preserve">IMB-294</t>
  </si>
  <si>
    <t xml:space="preserve">05-17-05</t>
  </si>
  <si>
    <t xml:space="preserve">IMB-295</t>
  </si>
  <si>
    <t xml:space="preserve">IMB-296</t>
  </si>
  <si>
    <t xml:space="preserve">IMB-297</t>
  </si>
  <si>
    <t xml:space="preserve">05-18-04</t>
  </si>
  <si>
    <t xml:space="preserve">IMB-298</t>
  </si>
  <si>
    <t xml:space="preserve">05-17-03</t>
  </si>
  <si>
    <t xml:space="preserve">IMB-299</t>
  </si>
  <si>
    <t xml:space="preserve">05-18-05</t>
  </si>
  <si>
    <t xml:space="preserve">IMB-300</t>
  </si>
  <si>
    <t xml:space="preserve">05-18-08</t>
  </si>
  <si>
    <t xml:space="preserve">IMB-301</t>
  </si>
  <si>
    <t xml:space="preserve">IMB-302</t>
  </si>
  <si>
    <t xml:space="preserve">IMB-303</t>
  </si>
  <si>
    <t xml:space="preserve">IMB-304</t>
  </si>
  <si>
    <t xml:space="preserve">IMB-305</t>
  </si>
  <si>
    <t xml:space="preserve">IMB-306</t>
  </si>
  <si>
    <t xml:space="preserve">IMB-307</t>
  </si>
  <si>
    <t xml:space="preserve">IMB-308</t>
  </si>
  <si>
    <t xml:space="preserve">IMB-309</t>
  </si>
  <si>
    <t xml:space="preserve">IMB-310</t>
  </si>
  <si>
    <t xml:space="preserve">IMB-311</t>
  </si>
  <si>
    <t xml:space="preserve">IMB-312</t>
  </si>
  <si>
    <t xml:space="preserve">03-09-04</t>
  </si>
  <si>
    <t xml:space="preserve">IMB-313</t>
  </si>
  <si>
    <t xml:space="preserve">03-09-09</t>
  </si>
  <si>
    <t xml:space="preserve">IMB-314</t>
  </si>
  <si>
    <t xml:space="preserve">IMB-315</t>
  </si>
  <si>
    <t xml:space="preserve">IMB-316</t>
  </si>
  <si>
    <t xml:space="preserve">IMB-317</t>
  </si>
  <si>
    <t xml:space="preserve">IMB-318</t>
  </si>
  <si>
    <t xml:space="preserve">IMB-319</t>
  </si>
  <si>
    <t xml:space="preserve">IMB-320</t>
  </si>
  <si>
    <t xml:space="preserve">IMB-321</t>
  </si>
  <si>
    <t xml:space="preserve">IMB-322</t>
  </si>
  <si>
    <t xml:space="preserve">IMB-323</t>
  </si>
  <si>
    <t xml:space="preserve">00-14-06</t>
  </si>
  <si>
    <t xml:space="preserve">IMB-324</t>
  </si>
  <si>
    <t xml:space="preserve">IMB-325</t>
  </si>
  <si>
    <t xml:space="preserve">IMB-326</t>
  </si>
  <si>
    <t xml:space="preserve">Calle Rio Verde</t>
  </si>
  <si>
    <t xml:space="preserve">IMB-327</t>
  </si>
  <si>
    <t xml:space="preserve">IMB-328</t>
  </si>
  <si>
    <t xml:space="preserve">04-39-02</t>
  </si>
  <si>
    <t xml:space="preserve">IMB-329</t>
  </si>
  <si>
    <t xml:space="preserve">IMB-330</t>
  </si>
  <si>
    <t xml:space="preserve">Calle La Vega</t>
  </si>
  <si>
    <t xml:space="preserve">IMB-331</t>
  </si>
  <si>
    <t xml:space="preserve">RESIDENCIAL PALMERA DEL ESTE V</t>
  </si>
  <si>
    <t xml:space="preserve">IMB-332</t>
  </si>
  <si>
    <t xml:space="preserve">04-40-01</t>
  </si>
  <si>
    <t xml:space="preserve">IMB-333</t>
  </si>
  <si>
    <t xml:space="preserve">IMB-334</t>
  </si>
  <si>
    <t xml:space="preserve">IMB-335</t>
  </si>
  <si>
    <t xml:space="preserve">IMB-336</t>
  </si>
  <si>
    <t xml:space="preserve">IMB-337</t>
  </si>
  <si>
    <t xml:space="preserve">04-13-03</t>
  </si>
  <si>
    <t xml:space="preserve">IMB-338</t>
  </si>
  <si>
    <t xml:space="preserve">IMB-339</t>
  </si>
  <si>
    <t xml:space="preserve">Calle La Mancha Indeliable</t>
  </si>
  <si>
    <t xml:space="preserve">IMB-340</t>
  </si>
  <si>
    <t xml:space="preserve">IMB-341</t>
  </si>
  <si>
    <t xml:space="preserve">Paseo Rio Verde</t>
  </si>
  <si>
    <t xml:space="preserve">IMB-342</t>
  </si>
  <si>
    <t xml:space="preserve">IMB-343</t>
  </si>
  <si>
    <t xml:space="preserve">IMB-344</t>
  </si>
  <si>
    <t xml:space="preserve">IMB-345</t>
  </si>
  <si>
    <t xml:space="preserve">IMB-346</t>
  </si>
  <si>
    <t xml:space="preserve">IMB-347</t>
  </si>
  <si>
    <t xml:space="preserve">IMB-348</t>
  </si>
  <si>
    <t xml:space="preserve">IMB-349</t>
  </si>
  <si>
    <t xml:space="preserve">00-14-05</t>
  </si>
  <si>
    <t xml:space="preserve">IMB-350</t>
  </si>
  <si>
    <t xml:space="preserve">04-11-04</t>
  </si>
  <si>
    <t xml:space="preserve">IMB-351</t>
  </si>
  <si>
    <t xml:space="preserve">00-10-04</t>
  </si>
  <si>
    <t xml:space="preserve">IMB-352</t>
  </si>
  <si>
    <t xml:space="preserve">IMB-353</t>
  </si>
  <si>
    <t xml:space="preserve">00-10-01</t>
  </si>
  <si>
    <t xml:space="preserve">IMB-354</t>
  </si>
  <si>
    <t xml:space="preserve">IMB-355</t>
  </si>
  <si>
    <t xml:space="preserve">IMB-356</t>
  </si>
  <si>
    <t xml:space="preserve">IMB-357</t>
  </si>
  <si>
    <t xml:space="preserve">03-08-02</t>
  </si>
  <si>
    <t xml:space="preserve">IMB-358</t>
  </si>
  <si>
    <t xml:space="preserve">IMB-359</t>
  </si>
  <si>
    <t xml:space="preserve">00-10-02</t>
  </si>
  <si>
    <t xml:space="preserve">IMB-360</t>
  </si>
  <si>
    <t xml:space="preserve">00-14-07</t>
  </si>
  <si>
    <t xml:space="preserve">IMB-361</t>
  </si>
  <si>
    <t xml:space="preserve">03-09-05</t>
  </si>
  <si>
    <t xml:space="preserve">IMB-362</t>
  </si>
  <si>
    <t xml:space="preserve">03-09-10</t>
  </si>
  <si>
    <t xml:space="preserve">IMB-363</t>
  </si>
  <si>
    <t xml:space="preserve">IMB-364</t>
  </si>
  <si>
    <t xml:space="preserve">00-14-03</t>
  </si>
  <si>
    <t xml:space="preserve">IMB-365</t>
  </si>
  <si>
    <t xml:space="preserve">03-09-08</t>
  </si>
  <si>
    <t xml:space="preserve">IMB-366</t>
  </si>
  <si>
    <t xml:space="preserve">03-09-02</t>
  </si>
  <si>
    <t xml:space="preserve">IMB-367</t>
  </si>
  <si>
    <t xml:space="preserve">IMB-368</t>
  </si>
  <si>
    <t xml:space="preserve">IMB-369</t>
  </si>
  <si>
    <t xml:space="preserve">03-09-03</t>
  </si>
  <si>
    <t xml:space="preserve">IMB-370</t>
  </si>
  <si>
    <t xml:space="preserve">00-14-04</t>
  </si>
  <si>
    <t xml:space="preserve">IMB-371</t>
  </si>
  <si>
    <t xml:space="preserve">IMB-372</t>
  </si>
  <si>
    <t xml:space="preserve">IMB-373</t>
  </si>
  <si>
    <t xml:space="preserve">IMB-374</t>
  </si>
  <si>
    <t xml:space="preserve">IMB-375</t>
  </si>
  <si>
    <t xml:space="preserve">IMB-376</t>
  </si>
  <si>
    <t xml:space="preserve">IMB-377</t>
  </si>
  <si>
    <t xml:space="preserve">IMB-378</t>
  </si>
  <si>
    <t xml:space="preserve">IMB-379</t>
  </si>
  <si>
    <t xml:space="preserve">IMB-380</t>
  </si>
  <si>
    <t xml:space="preserve">IMB-381</t>
  </si>
  <si>
    <t xml:space="preserve">IMB-382</t>
  </si>
  <si>
    <t xml:space="preserve">IMB-383</t>
  </si>
  <si>
    <t xml:space="preserve">00-10-03</t>
  </si>
  <si>
    <t xml:space="preserve">IMB-384</t>
  </si>
  <si>
    <t xml:space="preserve">Calle Manuel Sicuri</t>
  </si>
  <si>
    <t xml:space="preserve">IMB-385</t>
  </si>
  <si>
    <t xml:space="preserve">IMB-386</t>
  </si>
  <si>
    <t xml:space="preserve">IMB-387</t>
  </si>
  <si>
    <t xml:space="preserve">03-09-07</t>
  </si>
  <si>
    <t xml:space="preserve">IMB-388</t>
  </si>
  <si>
    <t xml:space="preserve">03-09-01</t>
  </si>
  <si>
    <t xml:space="preserve">IMB-389</t>
  </si>
  <si>
    <t xml:space="preserve">IMB-390</t>
  </si>
  <si>
    <t xml:space="preserve">IMB-391</t>
  </si>
  <si>
    <t xml:space="preserve">03-08-01</t>
  </si>
  <si>
    <t xml:space="preserve">IMB-392</t>
  </si>
  <si>
    <t xml:space="preserve">IMB-393</t>
  </si>
  <si>
    <t xml:space="preserve">IMB-394</t>
  </si>
  <si>
    <t xml:space="preserve">IMB-395</t>
  </si>
  <si>
    <t xml:space="preserve">Calle Dos Amigos</t>
  </si>
  <si>
    <t xml:space="preserve">03-08-04</t>
  </si>
  <si>
    <t xml:space="preserve">IMB-396</t>
  </si>
  <si>
    <t xml:space="preserve">03-08-03</t>
  </si>
  <si>
    <t xml:space="preserve">IMB-397</t>
  </si>
  <si>
    <t xml:space="preserve">IMB-398</t>
  </si>
  <si>
    <t xml:space="preserve">Calle Rey David</t>
  </si>
  <si>
    <t xml:space="preserve">IMB-399</t>
  </si>
  <si>
    <t xml:space="preserve">IMB-400</t>
  </si>
  <si>
    <t xml:space="preserve">IMB-401</t>
  </si>
  <si>
    <t xml:space="preserve">IMB-402</t>
  </si>
  <si>
    <t xml:space="preserve">IMB-403</t>
  </si>
  <si>
    <t xml:space="preserve">IMB-404</t>
  </si>
  <si>
    <t xml:space="preserve">IMB-405</t>
  </si>
  <si>
    <t xml:space="preserve">IMB-406</t>
  </si>
  <si>
    <t xml:space="preserve">IMB-407</t>
  </si>
  <si>
    <t xml:space="preserve">IMB-408</t>
  </si>
  <si>
    <t xml:space="preserve">IMB-409</t>
  </si>
  <si>
    <t xml:space="preserve">IMB-410</t>
  </si>
  <si>
    <t xml:space="preserve">IMB-411</t>
  </si>
  <si>
    <t xml:space="preserve">IMB-412</t>
  </si>
  <si>
    <t xml:space="preserve">IMB-413</t>
  </si>
  <si>
    <t xml:space="preserve">IMB-414</t>
  </si>
  <si>
    <t xml:space="preserve">01-03-03</t>
  </si>
  <si>
    <t xml:space="preserve">IMB-415</t>
  </si>
  <si>
    <t xml:space="preserve">IMB-416</t>
  </si>
  <si>
    <t xml:space="preserve">IMB-417</t>
  </si>
  <si>
    <t xml:space="preserve">01-03-02</t>
  </si>
  <si>
    <t xml:space="preserve">IMB-418</t>
  </si>
  <si>
    <t xml:space="preserve">IMB-419</t>
  </si>
  <si>
    <t xml:space="preserve">02-04-01</t>
  </si>
  <si>
    <t xml:space="preserve">IMB-420</t>
  </si>
  <si>
    <t xml:space="preserve">IMB-421</t>
  </si>
  <si>
    <t xml:space="preserve">IMB-422</t>
  </si>
  <si>
    <t xml:space="preserve">02-07-01</t>
  </si>
  <si>
    <t xml:space="preserve">IMB-423</t>
  </si>
  <si>
    <t xml:space="preserve">IMB-424</t>
  </si>
  <si>
    <t xml:space="preserve">IMB-425</t>
  </si>
  <si>
    <t xml:space="preserve">IMB-426</t>
  </si>
  <si>
    <t xml:space="preserve">IMB-427</t>
  </si>
  <si>
    <t xml:space="preserve">IMB-428</t>
  </si>
  <si>
    <t xml:space="preserve">IMB-429</t>
  </si>
  <si>
    <t xml:space="preserve">02-04-02</t>
  </si>
  <si>
    <t xml:space="preserve">IMB-430</t>
  </si>
  <si>
    <t xml:space="preserve">02-07-03</t>
  </si>
  <si>
    <t xml:space="preserve">IMB-431</t>
  </si>
  <si>
    <t xml:space="preserve">Calle Cayo Confites</t>
  </si>
  <si>
    <t xml:space="preserve">02-04-03</t>
  </si>
  <si>
    <t xml:space="preserve">IMB-432</t>
  </si>
  <si>
    <t xml:space="preserve">02-05-01</t>
  </si>
  <si>
    <t xml:space="preserve">IMB-433</t>
  </si>
  <si>
    <t xml:space="preserve">IMB-434</t>
  </si>
  <si>
    <t xml:space="preserve">Avenida La Gaviota Tramo 2</t>
  </si>
  <si>
    <t xml:space="preserve">IMB-435</t>
  </si>
  <si>
    <t xml:space="preserve">IMB-436</t>
  </si>
  <si>
    <t xml:space="preserve">02-06-02</t>
  </si>
  <si>
    <t xml:space="preserve">IMB-437</t>
  </si>
  <si>
    <t xml:space="preserve">IMB-438</t>
  </si>
  <si>
    <t xml:space="preserve">02-06-04</t>
  </si>
  <si>
    <t xml:space="preserve">IMB-439</t>
  </si>
  <si>
    <t xml:space="preserve">02-06-06</t>
  </si>
  <si>
    <t xml:space="preserve">IMB-440</t>
  </si>
  <si>
    <t xml:space="preserve">02-07-02</t>
  </si>
  <si>
    <t xml:space="preserve">IMB-441</t>
  </si>
  <si>
    <t xml:space="preserve">IMB-442</t>
  </si>
  <si>
    <t xml:space="preserve">IMB-443</t>
  </si>
  <si>
    <t xml:space="preserve">02-05-02</t>
  </si>
  <si>
    <t xml:space="preserve">IMB-444</t>
  </si>
  <si>
    <t xml:space="preserve">IMB-445</t>
  </si>
  <si>
    <t xml:space="preserve">02-06-01</t>
  </si>
  <si>
    <t xml:space="preserve">Parque Deportivo Algarrobo No. 22 Etapa 1</t>
  </si>
  <si>
    <t xml:space="preserve">IMB-445B</t>
  </si>
  <si>
    <t xml:space="preserve">Cisterna (PG)</t>
  </si>
  <si>
    <t xml:space="preserve">pg cisterna</t>
  </si>
  <si>
    <t xml:space="preserve">Número 445 repetido en el levantamiento; se asignó IMB-445B.</t>
  </si>
  <si>
    <t xml:space="preserve">IMB-446</t>
  </si>
  <si>
    <t xml:space="preserve">IMB-447</t>
  </si>
  <si>
    <t xml:space="preserve">IMB-448</t>
  </si>
  <si>
    <t xml:space="preserve">IMB-449</t>
  </si>
  <si>
    <t xml:space="preserve">IMB-450</t>
  </si>
  <si>
    <t xml:space="preserve">IMB-451</t>
  </si>
  <si>
    <t xml:space="preserve">IMB-452</t>
  </si>
  <si>
    <t xml:space="preserve">IMB-453</t>
  </si>
  <si>
    <t xml:space="preserve">IMB-454</t>
  </si>
  <si>
    <t xml:space="preserve">IMB-455</t>
  </si>
  <si>
    <t xml:space="preserve">IMB-456</t>
  </si>
  <si>
    <t xml:space="preserve">IMB-457</t>
  </si>
  <si>
    <t xml:space="preserve">Filtrante</t>
  </si>
  <si>
    <t xml:space="preserve">IMB-458</t>
  </si>
  <si>
    <t xml:space="preserve">IMB-459</t>
  </si>
  <si>
    <t xml:space="preserve">IMB-460</t>
  </si>
  <si>
    <t xml:space="preserve">Fuera de lotes del Master Plan</t>
  </si>
  <si>
    <t xml:space="preserve">IMB-461</t>
  </si>
  <si>
    <t xml:space="preserve">IMB-462</t>
  </si>
  <si>
    <t xml:space="preserve">01-02-08</t>
  </si>
  <si>
    <t xml:space="preserve">IMB-463</t>
  </si>
  <si>
    <t xml:space="preserve">IMB-464</t>
  </si>
  <si>
    <t xml:space="preserve">IMB-465</t>
  </si>
  <si>
    <t xml:space="preserve">01-02-06</t>
  </si>
  <si>
    <t xml:space="preserve">IMB-466</t>
  </si>
  <si>
    <t xml:space="preserve">IMB-467</t>
  </si>
  <si>
    <t xml:space="preserve">IMB-468</t>
  </si>
  <si>
    <t xml:space="preserve">IMB-469</t>
  </si>
  <si>
    <t xml:space="preserve">IMB-470</t>
  </si>
  <si>
    <t xml:space="preserve">IMB-471</t>
  </si>
  <si>
    <t xml:space="preserve">IMB-472</t>
  </si>
  <si>
    <t xml:space="preserve">Resumen por calle</t>
  </si>
  <si>
    <t xml:space="preserve">Se calcula con fórmulas a partir de la hoja Inventario</t>
  </si>
  <si>
    <t xml:space="preserve">Calle / ubicación</t>
  </si>
  <si>
    <t xml:space="preserve">Total</t>
  </si>
  <si>
    <t xml:space="preserve">Datos a confirmar con Verasol</t>
  </si>
  <si>
    <t xml:space="preserve">Diferencias encontradas al procesar el levantamiento; ninguna impide usar el inventario</t>
  </si>
  <si>
    <t xml:space="preserve">Fila en el Excel original</t>
  </si>
  <si>
    <t xml:space="preserve">Situación</t>
  </si>
  <si>
    <t xml:space="preserve">Coordenada (UTM E / N)</t>
  </si>
  <si>
    <t xml:space="preserve">421483.39 / 2047133.27</t>
  </si>
  <si>
    <t xml:space="preserve">420728.48 / 2044735.17</t>
  </si>
  <si>
    <t xml:space="preserve">420744.06 / 2044733.49</t>
  </si>
  <si>
    <t xml:space="preserve">420745.76 / 2044700.04</t>
  </si>
  <si>
    <t xml:space="preserve">420730.22 / 2044698.50</t>
  </si>
  <si>
    <t xml:space="preserve">420732.03 / 2044663.92</t>
  </si>
  <si>
    <t xml:space="preserve">420584.49 / 2044399.68</t>
  </si>
  <si>
    <t xml:space="preserve">420764.71 / 2044960.23</t>
  </si>
  <si>
    <t xml:space="preserve">420762.20 / 2045251.06</t>
  </si>
  <si>
    <t xml:space="preserve">420762.20 / 2045251.05</t>
  </si>
  <si>
    <t xml:space="preserve">420507.14 / 2046520.69</t>
  </si>
  <si>
    <t xml:space="preserve">—</t>
  </si>
  <si>
    <t xml:space="preserve">Fila sin coordenadas (parece un encabezado intermedio) Valores: filtrante, None, None, None, None</t>
  </si>
  <si>
    <t xml:space="preserve">El punto queda fuera de los lotes del Master Plan; verificar si pertenece a CJB o si la coordenada es correcta.</t>
  </si>
  <si>
    <t xml:space="preserve">420680.44 / 2046402.58</t>
  </si>
  <si>
    <t xml:space="preserve">Cómo se construyó el inventario</t>
  </si>
  <si>
    <t xml:space="preserve">Georreferencia del Master Plan y ubicación de cada imbornal</t>
  </si>
  <si>
    <t xml:space="preserve">Fuente de los puntos</t>
  </si>
  <si>
    <t xml:space="preserve">Levantamiento de imbornales de Verasol del 27/07/2026 (coordenadas Norte, Este y cota).</t>
  </si>
  <si>
    <t xml:space="preserve">Sistema de coordenadas</t>
  </si>
  <si>
    <t xml:space="preserve">WGS 84 / UTM zona 19N (EPSG:32619)</t>
  </si>
  <si>
    <t xml:space="preserve">Master Plan</t>
  </si>
  <si>
    <t xml:space="preserve">SVG del sistema de mapas (MAPA NUEVO - CJB/assets/mapa.svg). No se contó con el plano de AutoCAD, por lo que el SVG se georreferenció por calibración.</t>
  </si>
  <si>
    <t xml:space="preserve">Calibración</t>
  </si>
  <si>
    <t xml:space="preserve">Escala 4.3184 m por unidad del SVG, rotación 0.00013°. Fórmula: E = E0 + s·x ; N = N0 − s·y  (x, y en unidades del SVG). La escala coincide con la obtenida comparando las áreas de los lotes del SVG con las áreas registradas en la base de datos.</t>
  </si>
  <si>
    <t xml:space="preserve">Verificación</t>
  </si>
  <si>
    <t xml:space="preserve">Superposición sobre la imagen satelital de Esri (World Imagery): los bordes de los lotes coinciden con las manzanas reales con una precisión de 1–2 m en zonas urbanizadas.</t>
  </si>
  <si>
    <t xml:space="preserve">Ubicación de cada punto</t>
  </si>
  <si>
    <t xml:space="preserve">«Calle»: el punto cae en un lote vial del Master Plan (15-01-xx), cuyo nombre es la calle. «Dentro de lote»: cae dentro de un lote no vial. «Lote más cercano»: el lote no vial más próximo y su distancia.</t>
  </si>
  <si>
    <t xml:space="preserve">Alcance</t>
  </si>
  <si>
    <t xml:space="preserve">El levantamiento cubre los imbornales de calles y áreas públicas; no incluye los filtrantes internos de residenciales y plazas comerciales.</t>
  </si>
  <si>
    <t xml:space="preserve">Actualización</t>
  </si>
  <si>
    <t xml:space="preserve">Ejecutar tools/generar_activos_cjb.py con el nuevo levantamiento: regenera esta hoja y la capa del mapa (MAPA NUEVO - CJB/data/activos_cjb.json).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</si>
</sst>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"/>
    <numFmt numFmtId="167" formatCode="0.000"/>
    <numFmt numFmtId="168" formatCode="0.000000"/>
    <numFmt numFmtId="169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rgb="FFFFFFFF"/>
      <name val="Segoe UI Semibold"/>
      <family val="0"/>
      <charset val="1"/>
    </font>
    <font>
      <sz val="9"/>
      <color rgb="FFC7D2FE"/>
      <name val="Segoe UI"/>
      <family val="0"/>
      <charset val="1"/>
    </font>
    <font>
      <i val="true"/>
      <sz val="8.5"/>
      <color rgb="FF64748B"/>
      <name val="Segoe UI"/>
      <family val="0"/>
      <charset val="1"/>
    </font>
    <font>
      <sz val="9.5"/>
      <color rgb="FFFFFFFF"/>
      <name val="Segoe UI Semibold"/>
      <family val="0"/>
      <charset val="1"/>
    </font>
    <font>
      <sz val="9.5"/>
      <color rgb="FF0F172A"/>
      <name val="Segoe UI"/>
      <family val="0"/>
      <charset val="1"/>
    </font>
    <font>
      <u val="single"/>
      <sz val="9.5"/>
      <color rgb="FF1D4ED8"/>
      <name val="Segoe UI"/>
      <family val="0"/>
      <charset val="1"/>
    </font>
    <font>
      <sz val="9.5"/>
      <color rgb="FF0F172A"/>
      <name val="Segoe UI Semibold"/>
      <family val="0"/>
      <charset val="1"/>
    </font>
    <font>
      <sz val="10"/>
      <color rgb="FF0F172A"/>
      <name val="Segoe UI Semibold"/>
      <family val="0"/>
      <charset val="1"/>
    </font>
    <font>
      <sz val="10"/>
      <color rgb="FF1B3A6B"/>
      <name val="Segoe UI Semibold"/>
      <family val="0"/>
      <charset val="1"/>
    </font>
    <font>
      <sz val="10"/>
      <color rgb="FF0F172A"/>
      <name val="Segoe U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3A6B"/>
        <bgColor rgb="FF333333"/>
      </patternFill>
    </fill>
    <fill>
      <patternFill patternType="solid">
        <fgColor rgb="FFE63946"/>
        <bgColor rgb="FF993366"/>
      </patternFill>
    </fill>
    <fill>
      <patternFill patternType="solid">
        <fgColor rgb="FFFAFBFD"/>
        <bgColor rgb="FFF8FAFC"/>
      </patternFill>
    </fill>
    <fill>
      <patternFill patternType="solid">
        <fgColor rgb="FFF8FAFC"/>
        <bgColor rgb="FFFAFBF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B3A6B"/>
          <bgColor rgb="FF000000"/>
        </patternFill>
      </fill>
    </dxf>
    <dxf>
      <fill>
        <patternFill patternType="solid">
          <fgColor rgb="FFFAFBF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E0E7FF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075985"/>
          <bgColor rgb="FF000000"/>
        </patternFill>
      </fill>
    </dxf>
    <dxf>
      <fill>
        <patternFill patternType="solid">
          <fgColor rgb="FF115E59"/>
          <bgColor rgb="FF000000"/>
        </patternFill>
      </fill>
    </dxf>
    <dxf>
      <fill>
        <patternFill patternType="solid">
          <fgColor rgb="FF3730A3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FFF7ED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ont>
        <b val="1"/>
        <color rgb="FF075985"/>
      </font>
      <fill>
        <patternFill>
          <bgColor rgb="FFE0F2FE"/>
        </patternFill>
      </fill>
    </dxf>
    <dxf>
      <font>
        <b val="1"/>
        <color rgb="FF3730A3"/>
      </font>
      <fill>
        <patternFill>
          <bgColor rgb="FFE0E7FF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115E59"/>
      </font>
      <fill>
        <patternFill>
          <bgColor rgb="FFCCFBF1"/>
        </patternFill>
      </fill>
    </dxf>
    <dxf>
      <fill>
        <patternFill>
          <bgColor rgb="FFFFF7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75985"/>
      <rgbColor rgb="FFE0E7FF"/>
      <rgbColor rgb="FF808080"/>
      <rgbColor rgb="FF9999FF"/>
      <rgbColor rgb="FFE63946"/>
      <rgbColor rgb="FFFEF3C7"/>
      <rgbColor rgb="FFCCFBF1"/>
      <rgbColor rgb="FF660066"/>
      <rgbColor rgb="FFFF8080"/>
      <rgbColor rgb="FF1D4ED8"/>
      <rgbColor rgb="FFC7D2FE"/>
      <rgbColor rgb="FF000080"/>
      <rgbColor rgb="FFFF00FF"/>
      <rgbColor rgb="FFFFFF00"/>
      <rgbColor rgb="FF00FFFF"/>
      <rgbColor rgb="FF800080"/>
      <rgbColor rgb="FF800000"/>
      <rgbColor rgb="FF115E59"/>
      <rgbColor rgb="FF0000FF"/>
      <rgbColor rgb="FF00CCFF"/>
      <rgbColor rgb="FFE0F2FE"/>
      <rgbColor rgb="FFE2E8F0"/>
      <rgbColor rgb="FFFFF7ED"/>
      <rgbColor rgb="FFFAFBFD"/>
      <rgbColor rgb="FFFF99CC"/>
      <rgbColor rgb="FFCC99FF"/>
      <rgbColor rgb="FFF8FAFC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B3A6B"/>
      <rgbColor rgb="FF339966"/>
      <rgbColor rgb="FF0F172A"/>
      <rgbColor rgb="FF333300"/>
      <rgbColor rgb="FF92400E"/>
      <rgbColor rgb="FF993366"/>
      <rgbColor rgb="FF3730A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maps?q=18.4844226,-69.7523383" TargetMode="External"/><Relationship Id="rId2" Type="http://schemas.openxmlformats.org/officeDocument/2006/relationships/hyperlink" Target="https://www.google.com/maps?q=18.4842936,-69.7523288" TargetMode="External"/><Relationship Id="rId3" Type="http://schemas.openxmlformats.org/officeDocument/2006/relationships/hyperlink" Target="https://www.google.com/maps?q=18.484357,-69.7509657" TargetMode="External"/><Relationship Id="rId4" Type="http://schemas.openxmlformats.org/officeDocument/2006/relationships/hyperlink" Target="https://www.google.com/maps?q=18.4845252,-69.7509668" TargetMode="External"/><Relationship Id="rId5" Type="http://schemas.openxmlformats.org/officeDocument/2006/relationships/hyperlink" Target="https://www.google.com/maps?q=18.484578,-69.7465867" TargetMode="External"/><Relationship Id="rId6" Type="http://schemas.openxmlformats.org/officeDocument/2006/relationships/hyperlink" Target="https://www.google.com/maps?q=18.4847075,-69.7465934" TargetMode="External"/><Relationship Id="rId7" Type="http://schemas.openxmlformats.org/officeDocument/2006/relationships/hyperlink" Target="https://www.google.com/maps?q=18.4855736,-69.7427883" TargetMode="External"/><Relationship Id="rId8" Type="http://schemas.openxmlformats.org/officeDocument/2006/relationships/hyperlink" Target="https://www.google.com/maps?q=18.4852103,-69.7427795" TargetMode="External"/><Relationship Id="rId9" Type="http://schemas.openxmlformats.org/officeDocument/2006/relationships/hyperlink" Target="https://www.google.com/maps?q=18.4860265,-69.7427997" TargetMode="External"/><Relationship Id="rId10" Type="http://schemas.openxmlformats.org/officeDocument/2006/relationships/hyperlink" Target="https://www.google.com/maps?q=18.4872923,-69.7428325" TargetMode="External"/><Relationship Id="rId11" Type="http://schemas.openxmlformats.org/officeDocument/2006/relationships/hyperlink" Target="https://www.google.com/maps?q=18.4900036,-69.7429031" TargetMode="External"/><Relationship Id="rId12" Type="http://schemas.openxmlformats.org/officeDocument/2006/relationships/hyperlink" Target="https://www.google.com/maps?q=18.4907885,-69.7429237" TargetMode="External"/><Relationship Id="rId13" Type="http://schemas.openxmlformats.org/officeDocument/2006/relationships/hyperlink" Target="https://www.google.com/maps?q=18.4907784,-69.7429922" TargetMode="External"/><Relationship Id="rId14" Type="http://schemas.openxmlformats.org/officeDocument/2006/relationships/hyperlink" Target="https://www.google.com/maps?q=18.4948309,-69.7430283" TargetMode="External"/><Relationship Id="rId15" Type="http://schemas.openxmlformats.org/officeDocument/2006/relationships/hyperlink" Target="https://www.google.com/maps?q=18.4976031,-69.7427807" TargetMode="External"/><Relationship Id="rId16" Type="http://schemas.openxmlformats.org/officeDocument/2006/relationships/hyperlink" Target="https://www.google.com/maps?q=18.4985208,-69.7423084" TargetMode="External"/><Relationship Id="rId17" Type="http://schemas.openxmlformats.org/officeDocument/2006/relationships/hyperlink" Target="https://www.google.com/maps?q=18.4996094,-69.7417461" TargetMode="External"/><Relationship Id="rId18" Type="http://schemas.openxmlformats.org/officeDocument/2006/relationships/hyperlink" Target="https://www.google.com/maps?q=18.5004103,-69.7413318" TargetMode="External"/><Relationship Id="rId19" Type="http://schemas.openxmlformats.org/officeDocument/2006/relationships/hyperlink" Target="https://www.google.com/maps?q=18.5012096,-69.740918" TargetMode="External"/><Relationship Id="rId20" Type="http://schemas.openxmlformats.org/officeDocument/2006/relationships/hyperlink" Target="https://www.google.com/maps?q=18.5020547,-69.7404816" TargetMode="External"/><Relationship Id="rId21" Type="http://schemas.openxmlformats.org/officeDocument/2006/relationships/hyperlink" Target="https://www.google.com/maps?q=18.5026784,-69.7401595" TargetMode="External"/><Relationship Id="rId22" Type="http://schemas.openxmlformats.org/officeDocument/2006/relationships/hyperlink" Target="https://www.google.com/maps?q=18.5032864,-69.7398438" TargetMode="External"/><Relationship Id="rId23" Type="http://schemas.openxmlformats.org/officeDocument/2006/relationships/hyperlink" Target="https://www.google.com/maps?q=18.5053485,-69.7394712" TargetMode="External"/><Relationship Id="rId24" Type="http://schemas.openxmlformats.org/officeDocument/2006/relationships/hyperlink" Target="https://www.google.com/maps?q=18.5059083,-69.7396401" TargetMode="External"/><Relationship Id="rId25" Type="http://schemas.openxmlformats.org/officeDocument/2006/relationships/hyperlink" Target="https://www.google.com/maps?q=18.5068792,-69.7401781" TargetMode="External"/><Relationship Id="rId26" Type="http://schemas.openxmlformats.org/officeDocument/2006/relationships/hyperlink" Target="https://www.google.com/maps?q=18.5081003,-69.7408847" TargetMode="External"/><Relationship Id="rId27" Type="http://schemas.openxmlformats.org/officeDocument/2006/relationships/hyperlink" Target="https://www.google.com/maps?q=18.5091353,-69.7414854" TargetMode="External"/><Relationship Id="rId28" Type="http://schemas.openxmlformats.org/officeDocument/2006/relationships/hyperlink" Target="https://www.google.com/maps?q=18.5111715,-69.7426693" TargetMode="External"/><Relationship Id="rId29" Type="http://schemas.openxmlformats.org/officeDocument/2006/relationships/hyperlink" Target="https://www.google.com/maps?q=18.5127477,-69.7435466" TargetMode="External"/><Relationship Id="rId30" Type="http://schemas.openxmlformats.org/officeDocument/2006/relationships/hyperlink" Target="https://www.google.com/maps?q=18.5127145,-69.743538" TargetMode="External"/><Relationship Id="rId31" Type="http://schemas.openxmlformats.org/officeDocument/2006/relationships/hyperlink" Target="https://www.google.com/maps?q=18.5132535,-69.7438489" TargetMode="External"/><Relationship Id="rId32" Type="http://schemas.openxmlformats.org/officeDocument/2006/relationships/hyperlink" Target="https://www.google.com/maps?q=18.5132535,-69.7438489" TargetMode="External"/><Relationship Id="rId33" Type="http://schemas.openxmlformats.org/officeDocument/2006/relationships/hyperlink" Target="https://www.google.com/maps?q=18.5138572,-69.7440629" TargetMode="External"/><Relationship Id="rId34" Type="http://schemas.openxmlformats.org/officeDocument/2006/relationships/hyperlink" Target="https://www.google.com/maps?q=18.5131163,-69.7441254" TargetMode="External"/><Relationship Id="rId35" Type="http://schemas.openxmlformats.org/officeDocument/2006/relationships/hyperlink" Target="https://www.google.com/maps?q=18.5125234,-69.7437816" TargetMode="External"/><Relationship Id="rId36" Type="http://schemas.openxmlformats.org/officeDocument/2006/relationships/hyperlink" Target="https://www.google.com/maps?q=18.5110705,-69.7429365" TargetMode="External"/><Relationship Id="rId37" Type="http://schemas.openxmlformats.org/officeDocument/2006/relationships/hyperlink" Target="https://www.google.com/maps?q=18.5090596,-69.7418041" TargetMode="External"/><Relationship Id="rId38" Type="http://schemas.openxmlformats.org/officeDocument/2006/relationships/hyperlink" Target="https://www.google.com/maps?q=18.5079798,-69.7411438" TargetMode="External"/><Relationship Id="rId39" Type="http://schemas.openxmlformats.org/officeDocument/2006/relationships/hyperlink" Target="https://www.google.com/maps?q=18.5068991,-69.7405179" TargetMode="External"/><Relationship Id="rId40" Type="http://schemas.openxmlformats.org/officeDocument/2006/relationships/hyperlink" Target="https://www.google.com/maps?q=18.5053087,-69.7397235" TargetMode="External"/><Relationship Id="rId41" Type="http://schemas.openxmlformats.org/officeDocument/2006/relationships/hyperlink" Target="https://www.google.com/maps?q=18.503392,-69.7400638" TargetMode="External"/><Relationship Id="rId42" Type="http://schemas.openxmlformats.org/officeDocument/2006/relationships/hyperlink" Target="https://www.google.com/maps?q=18.5020214,-69.7407716" TargetMode="External"/><Relationship Id="rId43" Type="http://schemas.openxmlformats.org/officeDocument/2006/relationships/hyperlink" Target="https://www.google.com/maps?q=18.5005206,-69.7415468" TargetMode="External"/><Relationship Id="rId44" Type="http://schemas.openxmlformats.org/officeDocument/2006/relationships/hyperlink" Target="https://www.google.com/maps?q=18.4986264,-69.7425283" TargetMode="External"/><Relationship Id="rId45" Type="http://schemas.openxmlformats.org/officeDocument/2006/relationships/hyperlink" Target="https://www.google.com/maps?q=18.4978849,-69.7429109" TargetMode="External"/><Relationship Id="rId46" Type="http://schemas.openxmlformats.org/officeDocument/2006/relationships/hyperlink" Target="https://www.google.com/maps?q=18.4968076,-69.7434387" TargetMode="External"/><Relationship Id="rId47" Type="http://schemas.openxmlformats.org/officeDocument/2006/relationships/hyperlink" Target="https://www.google.com/maps?q=18.4954211,-69.7432945" TargetMode="External"/><Relationship Id="rId48" Type="http://schemas.openxmlformats.org/officeDocument/2006/relationships/hyperlink" Target="https://www.google.com/maps?q=18.4948307,-69.7432756" TargetMode="External"/><Relationship Id="rId49" Type="http://schemas.openxmlformats.org/officeDocument/2006/relationships/hyperlink" Target="https://www.google.com/maps?q=18.4945142,-69.7432662" TargetMode="External"/><Relationship Id="rId50" Type="http://schemas.openxmlformats.org/officeDocument/2006/relationships/hyperlink" Target="https://www.google.com/maps?q=18.4941079,-69.7432555" TargetMode="External"/><Relationship Id="rId51" Type="http://schemas.openxmlformats.org/officeDocument/2006/relationships/hyperlink" Target="https://www.google.com/maps?q=18.4926254,-69.7432604" TargetMode="External"/><Relationship Id="rId52" Type="http://schemas.openxmlformats.org/officeDocument/2006/relationships/hyperlink" Target="https://www.google.com/maps?q=18.4919816,-69.7432025" TargetMode="External"/><Relationship Id="rId53" Type="http://schemas.openxmlformats.org/officeDocument/2006/relationships/hyperlink" Target="https://www.google.com/maps?q=18.4912597,-69.7431832" TargetMode="External"/><Relationship Id="rId54" Type="http://schemas.openxmlformats.org/officeDocument/2006/relationships/hyperlink" Target="https://www.google.com/maps?q=18.4907935,-69.7431702" TargetMode="External"/><Relationship Id="rId55" Type="http://schemas.openxmlformats.org/officeDocument/2006/relationships/hyperlink" Target="https://www.google.com/maps?q=18.4907709,-69.7431012" TargetMode="External"/><Relationship Id="rId56" Type="http://schemas.openxmlformats.org/officeDocument/2006/relationships/hyperlink" Target="https://www.google.com/maps?q=18.4903534,-69.7431588" TargetMode="External"/><Relationship Id="rId57" Type="http://schemas.openxmlformats.org/officeDocument/2006/relationships/hyperlink" Target="https://www.google.com/maps?q=18.4896312,-69.7431403" TargetMode="External"/><Relationship Id="rId58" Type="http://schemas.openxmlformats.org/officeDocument/2006/relationships/hyperlink" Target="https://www.google.com/maps?q=18.4888557,-69.7431204" TargetMode="External"/><Relationship Id="rId59" Type="http://schemas.openxmlformats.org/officeDocument/2006/relationships/hyperlink" Target="https://www.google.com/maps?q=18.4881866,-69.7431424" TargetMode="External"/><Relationship Id="rId60" Type="http://schemas.openxmlformats.org/officeDocument/2006/relationships/hyperlink" Target="https://www.google.com/maps?q=18.4874643,-69.743084" TargetMode="External"/><Relationship Id="rId61" Type="http://schemas.openxmlformats.org/officeDocument/2006/relationships/hyperlink" Target="https://www.google.com/maps?q=18.4867391,-69.7430674" TargetMode="External"/><Relationship Id="rId62" Type="http://schemas.openxmlformats.org/officeDocument/2006/relationships/hyperlink" Target="https://www.google.com/maps?q=18.4860198,-69.7430464" TargetMode="External"/><Relationship Id="rId63" Type="http://schemas.openxmlformats.org/officeDocument/2006/relationships/hyperlink" Target="https://www.google.com/maps?q=18.485346,-69.7430279" TargetMode="External"/><Relationship Id="rId64" Type="http://schemas.openxmlformats.org/officeDocument/2006/relationships/hyperlink" Target="https://www.google.com/maps?q=18.4855902,-69.7439302" TargetMode="External"/><Relationship Id="rId65" Type="http://schemas.openxmlformats.org/officeDocument/2006/relationships/hyperlink" Target="https://www.google.com/maps?q=18.4854471,-69.7439132" TargetMode="External"/><Relationship Id="rId66" Type="http://schemas.openxmlformats.org/officeDocument/2006/relationships/hyperlink" Target="https://www.google.com/maps?q=18.485527,-69.7453137" TargetMode="External"/><Relationship Id="rId67" Type="http://schemas.openxmlformats.org/officeDocument/2006/relationships/hyperlink" Target="https://www.google.com/maps?q=18.4853832,-69.745289" TargetMode="External"/><Relationship Id="rId68" Type="http://schemas.openxmlformats.org/officeDocument/2006/relationships/hyperlink" Target="https://www.google.com/maps?q=18.4860029,-69.745607" TargetMode="External"/><Relationship Id="rId69" Type="http://schemas.openxmlformats.org/officeDocument/2006/relationships/hyperlink" Target="https://www.google.com/maps?q=18.4859914,-69.745757" TargetMode="External"/><Relationship Id="rId70" Type="http://schemas.openxmlformats.org/officeDocument/2006/relationships/hyperlink" Target="https://www.google.com/maps?q=18.486687,-69.745643" TargetMode="External"/><Relationship Id="rId71" Type="http://schemas.openxmlformats.org/officeDocument/2006/relationships/hyperlink" Target="https://www.google.com/maps?q=18.4866403,-69.7458012" TargetMode="External"/><Relationship Id="rId72" Type="http://schemas.openxmlformats.org/officeDocument/2006/relationships/hyperlink" Target="https://www.google.com/maps?q=18.4870367,-69.7456608" TargetMode="External"/><Relationship Id="rId73" Type="http://schemas.openxmlformats.org/officeDocument/2006/relationships/hyperlink" Target="https://www.google.com/maps?q=18.4870285,-69.7458112" TargetMode="External"/><Relationship Id="rId74" Type="http://schemas.openxmlformats.org/officeDocument/2006/relationships/hyperlink" Target="https://www.google.com/maps?q=18.4875294,-69.7456886" TargetMode="External"/><Relationship Id="rId75" Type="http://schemas.openxmlformats.org/officeDocument/2006/relationships/hyperlink" Target="https://www.google.com/maps?q=18.487537,-69.7458389" TargetMode="External"/><Relationship Id="rId76" Type="http://schemas.openxmlformats.org/officeDocument/2006/relationships/hyperlink" Target="https://www.google.com/maps?q=18.4885943,-69.7456626" TargetMode="External"/><Relationship Id="rId77" Type="http://schemas.openxmlformats.org/officeDocument/2006/relationships/hyperlink" Target="https://www.google.com/maps?q=18.4887278,-69.7456158" TargetMode="External"/><Relationship Id="rId78" Type="http://schemas.openxmlformats.org/officeDocument/2006/relationships/hyperlink" Target="https://www.google.com/maps?q=18.4889278,-69.7457594" TargetMode="External"/><Relationship Id="rId79" Type="http://schemas.openxmlformats.org/officeDocument/2006/relationships/hyperlink" Target="https://www.google.com/maps?q=18.4897355,-69.7458071" TargetMode="External"/><Relationship Id="rId80" Type="http://schemas.openxmlformats.org/officeDocument/2006/relationships/hyperlink" Target="https://www.google.com/maps?q=18.4902084,-69.745833" TargetMode="External"/><Relationship Id="rId81" Type="http://schemas.openxmlformats.org/officeDocument/2006/relationships/hyperlink" Target="https://www.google.com/maps?q=18.4902222,-69.745956" TargetMode="External"/><Relationship Id="rId82" Type="http://schemas.openxmlformats.org/officeDocument/2006/relationships/hyperlink" Target="https://www.google.com/maps?q=18.4905129,-69.7458494" TargetMode="External"/><Relationship Id="rId83" Type="http://schemas.openxmlformats.org/officeDocument/2006/relationships/hyperlink" Target="https://www.google.com/maps?q=18.4906812,-69.7460094" TargetMode="External"/><Relationship Id="rId84" Type="http://schemas.openxmlformats.org/officeDocument/2006/relationships/hyperlink" Target="https://www.google.com/maps?q=18.4912823,-69.7458903" TargetMode="External"/><Relationship Id="rId85" Type="http://schemas.openxmlformats.org/officeDocument/2006/relationships/hyperlink" Target="https://www.google.com/maps?q=18.4917737,-69.745917" TargetMode="External"/><Relationship Id="rId86" Type="http://schemas.openxmlformats.org/officeDocument/2006/relationships/hyperlink" Target="https://www.google.com/maps?q=18.4921784,-69.7460889" TargetMode="External"/><Relationship Id="rId87" Type="http://schemas.openxmlformats.org/officeDocument/2006/relationships/hyperlink" Target="https://www.google.com/maps?q=18.4925726,-69.7461529" TargetMode="External"/><Relationship Id="rId88" Type="http://schemas.openxmlformats.org/officeDocument/2006/relationships/hyperlink" Target="https://www.google.com/maps?q=18.4926212,-69.7458413" TargetMode="External"/><Relationship Id="rId89" Type="http://schemas.openxmlformats.org/officeDocument/2006/relationships/hyperlink" Target="https://www.google.com/maps?q=18.4927057,-69.7458669" TargetMode="External"/><Relationship Id="rId90" Type="http://schemas.openxmlformats.org/officeDocument/2006/relationships/hyperlink" Target="https://www.google.com/maps?q=18.4926398,-69.7454126" TargetMode="External"/><Relationship Id="rId91" Type="http://schemas.openxmlformats.org/officeDocument/2006/relationships/hyperlink" Target="https://www.google.com/maps?q=18.4926691,-69.7448091" TargetMode="External"/><Relationship Id="rId92" Type="http://schemas.openxmlformats.org/officeDocument/2006/relationships/hyperlink" Target="https://www.google.com/maps?q=18.4926972,-69.7442399" TargetMode="External"/><Relationship Id="rId93" Type="http://schemas.openxmlformats.org/officeDocument/2006/relationships/hyperlink" Target="https://www.google.com/maps?q=18.4928375,-69.743226" TargetMode="External"/><Relationship Id="rId94" Type="http://schemas.openxmlformats.org/officeDocument/2006/relationships/hyperlink" Target="https://www.google.com/maps?q=18.4929112,-69.7435667" TargetMode="External"/><Relationship Id="rId95" Type="http://schemas.openxmlformats.org/officeDocument/2006/relationships/hyperlink" Target="https://www.google.com/maps?q=18.492732,-69.7435003" TargetMode="External"/><Relationship Id="rId96" Type="http://schemas.openxmlformats.org/officeDocument/2006/relationships/hyperlink" Target="https://www.google.com/maps?q=18.4928779,-69.74425" TargetMode="External"/><Relationship Id="rId97" Type="http://schemas.openxmlformats.org/officeDocument/2006/relationships/hyperlink" Target="https://www.google.com/maps?q=18.4928501,-69.7448211" TargetMode="External"/><Relationship Id="rId98" Type="http://schemas.openxmlformats.org/officeDocument/2006/relationships/hyperlink" Target="https://www.google.com/maps?q=18.4928214,-69.7454262" TargetMode="External"/><Relationship Id="rId99" Type="http://schemas.openxmlformats.org/officeDocument/2006/relationships/hyperlink" Target="https://www.google.com/maps?q=18.4928008,-69.7458571" TargetMode="External"/><Relationship Id="rId100" Type="http://schemas.openxmlformats.org/officeDocument/2006/relationships/hyperlink" Target="https://www.google.com/maps?q=18.4927828,-69.7461964" TargetMode="External"/><Relationship Id="rId101" Type="http://schemas.openxmlformats.org/officeDocument/2006/relationships/hyperlink" Target="https://www.google.com/maps?q=18.4926901,-69.7462487" TargetMode="External"/><Relationship Id="rId102" Type="http://schemas.openxmlformats.org/officeDocument/2006/relationships/hyperlink" Target="https://www.google.com/maps?q=18.4927536,-69.7468156" TargetMode="External"/><Relationship Id="rId103" Type="http://schemas.openxmlformats.org/officeDocument/2006/relationships/hyperlink" Target="https://www.google.com/maps?q=18.4926974,-69.7479864" TargetMode="External"/><Relationship Id="rId104" Type="http://schemas.openxmlformats.org/officeDocument/2006/relationships/hyperlink" Target="https://www.google.com/maps?q=18.492516,-69.7479774" TargetMode="External"/><Relationship Id="rId105" Type="http://schemas.openxmlformats.org/officeDocument/2006/relationships/hyperlink" Target="https://www.google.com/maps?q=18.4927033,-69.7493673" TargetMode="External"/><Relationship Id="rId106" Type="http://schemas.openxmlformats.org/officeDocument/2006/relationships/hyperlink" Target="https://www.google.com/maps?q=18.4925325,-69.7495053" TargetMode="External"/><Relationship Id="rId107" Type="http://schemas.openxmlformats.org/officeDocument/2006/relationships/hyperlink" Target="https://www.google.com/maps?q=18.492362,-69.7495548" TargetMode="External"/><Relationship Id="rId108" Type="http://schemas.openxmlformats.org/officeDocument/2006/relationships/hyperlink" Target="https://www.google.com/maps?q=18.4927196,-69.749683" TargetMode="External"/><Relationship Id="rId109" Type="http://schemas.openxmlformats.org/officeDocument/2006/relationships/hyperlink" Target="https://www.google.com/maps?q=18.4925666,-69.7507959" TargetMode="External"/><Relationship Id="rId110" Type="http://schemas.openxmlformats.org/officeDocument/2006/relationships/hyperlink" Target="https://www.google.com/maps?q=18.4925402,-69.7516442" TargetMode="External"/><Relationship Id="rId111" Type="http://schemas.openxmlformats.org/officeDocument/2006/relationships/hyperlink" Target="https://www.google.com/maps?q=18.49253,-69.7522096" TargetMode="External"/><Relationship Id="rId112" Type="http://schemas.openxmlformats.org/officeDocument/2006/relationships/hyperlink" Target="https://www.google.com/maps?q=18.4925165,-69.7529576" TargetMode="External"/><Relationship Id="rId113" Type="http://schemas.openxmlformats.org/officeDocument/2006/relationships/hyperlink" Target="https://www.google.com/maps?q=18.4925096,-69.753321" TargetMode="External"/><Relationship Id="rId114" Type="http://schemas.openxmlformats.org/officeDocument/2006/relationships/hyperlink" Target="https://www.google.com/maps?q=18.492328,-69.7533384" TargetMode="External"/><Relationship Id="rId115" Type="http://schemas.openxmlformats.org/officeDocument/2006/relationships/hyperlink" Target="https://www.google.com/maps?q=18.4923365,-69.752946" TargetMode="External"/><Relationship Id="rId116" Type="http://schemas.openxmlformats.org/officeDocument/2006/relationships/hyperlink" Target="https://www.google.com/maps?q=18.4923443,-69.7525098" TargetMode="External"/><Relationship Id="rId117" Type="http://schemas.openxmlformats.org/officeDocument/2006/relationships/hyperlink" Target="https://www.google.com/maps?q=18.4923526,-69.7520291" TargetMode="External"/><Relationship Id="rId118" Type="http://schemas.openxmlformats.org/officeDocument/2006/relationships/hyperlink" Target="https://www.google.com/maps?q=18.492363,-69.7514379" TargetMode="External"/><Relationship Id="rId119" Type="http://schemas.openxmlformats.org/officeDocument/2006/relationships/hyperlink" Target="https://www.google.com/maps?q=18.4923956,-69.7504794" TargetMode="External"/><Relationship Id="rId120" Type="http://schemas.openxmlformats.org/officeDocument/2006/relationships/hyperlink" Target="https://www.google.com/maps?q=18.4903957,-69.7489305" TargetMode="External"/><Relationship Id="rId121" Type="http://schemas.openxmlformats.org/officeDocument/2006/relationships/hyperlink" Target="https://www.google.com/maps?q=18.4904046,-69.7488325" TargetMode="External"/><Relationship Id="rId122" Type="http://schemas.openxmlformats.org/officeDocument/2006/relationships/hyperlink" Target="https://www.google.com/maps?q=18.4894777,-69.7487035" TargetMode="External"/><Relationship Id="rId123" Type="http://schemas.openxmlformats.org/officeDocument/2006/relationships/hyperlink" Target="https://www.google.com/maps?q=18.4895119,-69.7485888" TargetMode="External"/><Relationship Id="rId124" Type="http://schemas.openxmlformats.org/officeDocument/2006/relationships/hyperlink" Target="https://www.google.com/maps?q=18.4888532,-69.7491782" TargetMode="External"/><Relationship Id="rId125" Type="http://schemas.openxmlformats.org/officeDocument/2006/relationships/hyperlink" Target="https://www.google.com/maps?q=18.4884891,-69.7492077" TargetMode="External"/><Relationship Id="rId126" Type="http://schemas.openxmlformats.org/officeDocument/2006/relationships/hyperlink" Target="https://www.google.com/maps?q=18.4882659,-69.7490237" TargetMode="External"/><Relationship Id="rId127" Type="http://schemas.openxmlformats.org/officeDocument/2006/relationships/hyperlink" Target="https://www.google.com/maps?q=18.4877859,-69.7487236" TargetMode="External"/><Relationship Id="rId128" Type="http://schemas.openxmlformats.org/officeDocument/2006/relationships/hyperlink" Target="https://www.google.com/maps?q=18.4878753,-69.7486467" TargetMode="External"/><Relationship Id="rId129" Type="http://schemas.openxmlformats.org/officeDocument/2006/relationships/hyperlink" Target="https://www.google.com/maps?q=18.4869625,-69.7486838" TargetMode="External"/><Relationship Id="rId130" Type="http://schemas.openxmlformats.org/officeDocument/2006/relationships/hyperlink" Target="https://www.google.com/maps?q=18.4864445,-69.748795" TargetMode="External"/><Relationship Id="rId131" Type="http://schemas.openxmlformats.org/officeDocument/2006/relationships/hyperlink" Target="https://www.google.com/maps?q=18.4863222,-69.7488432" TargetMode="External"/><Relationship Id="rId132" Type="http://schemas.openxmlformats.org/officeDocument/2006/relationships/hyperlink" Target="https://www.google.com/maps?q=18.4863736,-69.748678" TargetMode="External"/><Relationship Id="rId133" Type="http://schemas.openxmlformats.org/officeDocument/2006/relationships/hyperlink" Target="https://www.google.com/maps?q=18.4852766,-69.7489504" TargetMode="External"/><Relationship Id="rId134" Type="http://schemas.openxmlformats.org/officeDocument/2006/relationships/hyperlink" Target="https://www.google.com/maps?q=18.4852594,-69.7488554" TargetMode="External"/><Relationship Id="rId135" Type="http://schemas.openxmlformats.org/officeDocument/2006/relationships/hyperlink" Target="https://www.google.com/maps?q=18.4852661,-69.7471538" TargetMode="External"/><Relationship Id="rId136" Type="http://schemas.openxmlformats.org/officeDocument/2006/relationships/hyperlink" Target="https://www.google.com/maps?q=18.48524,-69.7472482" TargetMode="External"/><Relationship Id="rId137" Type="http://schemas.openxmlformats.org/officeDocument/2006/relationships/hyperlink" Target="https://www.google.com/maps?q=18.486132,-69.7473888" TargetMode="External"/><Relationship Id="rId138" Type="http://schemas.openxmlformats.org/officeDocument/2006/relationships/hyperlink" Target="https://www.google.com/maps?q=18.4861744,-69.7474997" TargetMode="External"/><Relationship Id="rId139" Type="http://schemas.openxmlformats.org/officeDocument/2006/relationships/hyperlink" Target="https://www.google.com/maps?q=18.4864218,-69.747332" TargetMode="External"/><Relationship Id="rId140" Type="http://schemas.openxmlformats.org/officeDocument/2006/relationships/hyperlink" Target="https://www.google.com/maps?q=18.4864346,-69.746667" TargetMode="External"/><Relationship Id="rId141" Type="http://schemas.openxmlformats.org/officeDocument/2006/relationships/hyperlink" Target="https://www.google.com/maps?q=18.4865248,-69.7466665" TargetMode="External"/><Relationship Id="rId142" Type="http://schemas.openxmlformats.org/officeDocument/2006/relationships/hyperlink" Target="https://www.google.com/maps?q=18.4865011,-69.7474401" TargetMode="External"/><Relationship Id="rId143" Type="http://schemas.openxmlformats.org/officeDocument/2006/relationships/hyperlink" Target="https://www.google.com/maps?q=18.4867071,-69.747544" TargetMode="External"/><Relationship Id="rId144" Type="http://schemas.openxmlformats.org/officeDocument/2006/relationships/hyperlink" Target="https://www.google.com/maps?q=18.4873672,-69.7477218" TargetMode="External"/><Relationship Id="rId145" Type="http://schemas.openxmlformats.org/officeDocument/2006/relationships/hyperlink" Target="https://www.google.com/maps?q=18.4879055,-69.7477788" TargetMode="External"/><Relationship Id="rId146" Type="http://schemas.openxmlformats.org/officeDocument/2006/relationships/hyperlink" Target="https://www.google.com/maps?q=18.4886438,-69.7472698" TargetMode="External"/><Relationship Id="rId147" Type="http://schemas.openxmlformats.org/officeDocument/2006/relationships/hyperlink" Target="https://www.google.com/maps?q=18.4886229,-69.7473842" TargetMode="External"/><Relationship Id="rId148" Type="http://schemas.openxmlformats.org/officeDocument/2006/relationships/hyperlink" Target="https://www.google.com/maps?q=18.4885207,-69.7471361" TargetMode="External"/><Relationship Id="rId149" Type="http://schemas.openxmlformats.org/officeDocument/2006/relationships/hyperlink" Target="https://www.google.com/maps?q=18.4885556,-69.7465637" TargetMode="External"/><Relationship Id="rId150" Type="http://schemas.openxmlformats.org/officeDocument/2006/relationships/hyperlink" Target="https://www.google.com/maps?q=18.488815,-69.7461951" TargetMode="External"/><Relationship Id="rId151" Type="http://schemas.openxmlformats.org/officeDocument/2006/relationships/hyperlink" Target="https://www.google.com/maps?q=18.4887889,-69.746711" TargetMode="External"/><Relationship Id="rId152" Type="http://schemas.openxmlformats.org/officeDocument/2006/relationships/hyperlink" Target="https://www.google.com/maps?q=18.4887774,-69.7469578" TargetMode="External"/><Relationship Id="rId153" Type="http://schemas.openxmlformats.org/officeDocument/2006/relationships/hyperlink" Target="https://www.google.com/maps?q=18.4887909,-69.7472007" TargetMode="External"/><Relationship Id="rId154" Type="http://schemas.openxmlformats.org/officeDocument/2006/relationships/hyperlink" Target="https://www.google.com/maps?q=18.4894406,-69.7478156" TargetMode="External"/><Relationship Id="rId155" Type="http://schemas.openxmlformats.org/officeDocument/2006/relationships/hyperlink" Target="https://www.google.com/maps?q=18.4894102,-69.74826" TargetMode="External"/><Relationship Id="rId156" Type="http://schemas.openxmlformats.org/officeDocument/2006/relationships/hyperlink" Target="https://www.google.com/maps?q=18.4895506,-69.747995" TargetMode="External"/><Relationship Id="rId157" Type="http://schemas.openxmlformats.org/officeDocument/2006/relationships/hyperlink" Target="https://www.google.com/maps?q=18.4895643,-69.7478794" TargetMode="External"/><Relationship Id="rId158" Type="http://schemas.openxmlformats.org/officeDocument/2006/relationships/hyperlink" Target="https://www.google.com/maps?q=18.490767,-69.7476969" TargetMode="External"/><Relationship Id="rId159" Type="http://schemas.openxmlformats.org/officeDocument/2006/relationships/hyperlink" Target="https://www.google.com/maps?q=18.4916562,-69.7475592" TargetMode="External"/><Relationship Id="rId160" Type="http://schemas.openxmlformats.org/officeDocument/2006/relationships/hyperlink" Target="https://www.google.com/maps?q=18.4916703,-69.7476537" TargetMode="External"/><Relationship Id="rId161" Type="http://schemas.openxmlformats.org/officeDocument/2006/relationships/hyperlink" Target="https://www.google.com/maps?q=18.4922786,-69.7474603" TargetMode="External"/><Relationship Id="rId162" Type="http://schemas.openxmlformats.org/officeDocument/2006/relationships/hyperlink" Target="https://www.google.com/maps?q=18.4922985,-69.7475548" TargetMode="External"/><Relationship Id="rId163" Type="http://schemas.openxmlformats.org/officeDocument/2006/relationships/hyperlink" Target="https://www.google.com/maps?q=18.493534,-69.7478553" TargetMode="External"/><Relationship Id="rId164" Type="http://schemas.openxmlformats.org/officeDocument/2006/relationships/hyperlink" Target="https://www.google.com/maps?q=18.4934376,-69.7479134" TargetMode="External"/><Relationship Id="rId165" Type="http://schemas.openxmlformats.org/officeDocument/2006/relationships/hyperlink" Target="https://www.google.com/maps?q=18.4919554,-69.750929" TargetMode="External"/><Relationship Id="rId166" Type="http://schemas.openxmlformats.org/officeDocument/2006/relationships/hyperlink" Target="https://www.google.com/maps?q=18.4919627,-69.7507821" TargetMode="External"/><Relationship Id="rId167" Type="http://schemas.openxmlformats.org/officeDocument/2006/relationships/hyperlink" Target="https://www.google.com/maps?q=18.4915527,-69.7509057" TargetMode="External"/><Relationship Id="rId168" Type="http://schemas.openxmlformats.org/officeDocument/2006/relationships/hyperlink" Target="https://www.google.com/maps?q=18.4915381,-69.7507581" TargetMode="External"/><Relationship Id="rId169" Type="http://schemas.openxmlformats.org/officeDocument/2006/relationships/hyperlink" Target="https://www.google.com/maps?q=18.4912358,-69.7507408" TargetMode="External"/><Relationship Id="rId170" Type="http://schemas.openxmlformats.org/officeDocument/2006/relationships/hyperlink" Target="https://www.google.com/maps?q=18.4912213,-69.7508879" TargetMode="External"/><Relationship Id="rId171" Type="http://schemas.openxmlformats.org/officeDocument/2006/relationships/hyperlink" Target="https://www.google.com/maps?q=18.4909089,-69.7508693" TargetMode="External"/><Relationship Id="rId172" Type="http://schemas.openxmlformats.org/officeDocument/2006/relationships/hyperlink" Target="https://www.google.com/maps?q=18.490936,-69.7507231" TargetMode="External"/><Relationship Id="rId173" Type="http://schemas.openxmlformats.org/officeDocument/2006/relationships/hyperlink" Target="https://www.google.com/maps?q=18.4906002,-69.7508514" TargetMode="External"/><Relationship Id="rId174" Type="http://schemas.openxmlformats.org/officeDocument/2006/relationships/hyperlink" Target="https://www.google.com/maps?q=18.4906067,-69.7507063" TargetMode="External"/><Relationship Id="rId175" Type="http://schemas.openxmlformats.org/officeDocument/2006/relationships/hyperlink" Target="https://www.google.com/maps?q=18.4902524,-69.750778" TargetMode="External"/><Relationship Id="rId176" Type="http://schemas.openxmlformats.org/officeDocument/2006/relationships/hyperlink" Target="https://www.google.com/maps?q=18.490265,-69.7508338" TargetMode="External"/><Relationship Id="rId177" Type="http://schemas.openxmlformats.org/officeDocument/2006/relationships/hyperlink" Target="https://www.google.com/maps?q=18.4899535,-69.7508167" TargetMode="External"/><Relationship Id="rId178" Type="http://schemas.openxmlformats.org/officeDocument/2006/relationships/hyperlink" Target="https://www.google.com/maps?q=18.4899693,-69.7506699" TargetMode="External"/><Relationship Id="rId179" Type="http://schemas.openxmlformats.org/officeDocument/2006/relationships/hyperlink" Target="https://www.google.com/maps?q=18.4896421,-69.7506524" TargetMode="External"/><Relationship Id="rId180" Type="http://schemas.openxmlformats.org/officeDocument/2006/relationships/hyperlink" Target="https://www.google.com/maps?q=18.4896346,-69.7507984" TargetMode="External"/><Relationship Id="rId181" Type="http://schemas.openxmlformats.org/officeDocument/2006/relationships/hyperlink" Target="https://www.google.com/maps?q=18.4893065,-69.7507794" TargetMode="External"/><Relationship Id="rId182" Type="http://schemas.openxmlformats.org/officeDocument/2006/relationships/hyperlink" Target="https://www.google.com/maps?q=18.4893132,-69.7506336" TargetMode="External"/><Relationship Id="rId183" Type="http://schemas.openxmlformats.org/officeDocument/2006/relationships/hyperlink" Target="https://www.google.com/maps?q=18.4889986,-69.7506147" TargetMode="External"/><Relationship Id="rId184" Type="http://schemas.openxmlformats.org/officeDocument/2006/relationships/hyperlink" Target="https://www.google.com/maps?q=18.4889919,-69.7507616" TargetMode="External"/><Relationship Id="rId185" Type="http://schemas.openxmlformats.org/officeDocument/2006/relationships/hyperlink" Target="https://www.google.com/maps?q=18.4886439,-69.7507645" TargetMode="External"/><Relationship Id="rId186" Type="http://schemas.openxmlformats.org/officeDocument/2006/relationships/hyperlink" Target="https://www.google.com/maps?q=18.4886543,-69.7505731" TargetMode="External"/><Relationship Id="rId187" Type="http://schemas.openxmlformats.org/officeDocument/2006/relationships/hyperlink" Target="https://www.google.com/maps?q=18.4879745,-69.7505559" TargetMode="External"/><Relationship Id="rId188" Type="http://schemas.openxmlformats.org/officeDocument/2006/relationships/hyperlink" Target="https://www.google.com/maps?q=18.487967,-69.7507049" TargetMode="External"/><Relationship Id="rId189" Type="http://schemas.openxmlformats.org/officeDocument/2006/relationships/hyperlink" Target="https://www.google.com/maps?q=18.4870315,-69.7506514" TargetMode="External"/><Relationship Id="rId190" Type="http://schemas.openxmlformats.org/officeDocument/2006/relationships/hyperlink" Target="https://www.google.com/maps?q=18.4870395,-69.7505042" TargetMode="External"/><Relationship Id="rId191" Type="http://schemas.openxmlformats.org/officeDocument/2006/relationships/hyperlink" Target="https://www.google.com/maps?q=18.4867515,-69.7506362" TargetMode="External"/><Relationship Id="rId192" Type="http://schemas.openxmlformats.org/officeDocument/2006/relationships/hyperlink" Target="https://www.google.com/maps?q=18.4865789,-69.7506257" TargetMode="External"/><Relationship Id="rId193" Type="http://schemas.openxmlformats.org/officeDocument/2006/relationships/hyperlink" Target="https://www.google.com/maps?q=18.4864062,-69.7506155" TargetMode="External"/><Relationship Id="rId194" Type="http://schemas.openxmlformats.org/officeDocument/2006/relationships/hyperlink" Target="https://www.google.com/maps?q=18.4862704,-69.7499943" TargetMode="External"/><Relationship Id="rId195" Type="http://schemas.openxmlformats.org/officeDocument/2006/relationships/hyperlink" Target="https://www.google.com/maps?q=18.4863603,-69.749997" TargetMode="External"/><Relationship Id="rId196" Type="http://schemas.openxmlformats.org/officeDocument/2006/relationships/hyperlink" Target="https://www.google.com/maps?q=18.485604,-69.7505694" TargetMode="External"/><Relationship Id="rId197" Type="http://schemas.openxmlformats.org/officeDocument/2006/relationships/hyperlink" Target="https://www.google.com/maps?q=18.4856122,-69.7504233" TargetMode="External"/><Relationship Id="rId198" Type="http://schemas.openxmlformats.org/officeDocument/2006/relationships/hyperlink" Target="https://www.google.com/maps?q=18.4853542,-69.7504098" TargetMode="External"/><Relationship Id="rId199" Type="http://schemas.openxmlformats.org/officeDocument/2006/relationships/hyperlink" Target="https://www.google.com/maps?q=18.4852592,-69.7508216" TargetMode="External"/><Relationship Id="rId200" Type="http://schemas.openxmlformats.org/officeDocument/2006/relationships/hyperlink" Target="https://www.google.com/maps?q=18.4851047,-69.7508288" TargetMode="External"/><Relationship Id="rId201" Type="http://schemas.openxmlformats.org/officeDocument/2006/relationships/hyperlink" Target="https://www.google.com/maps?q=18.4851392,-69.7530451" TargetMode="External"/><Relationship Id="rId202" Type="http://schemas.openxmlformats.org/officeDocument/2006/relationships/hyperlink" Target="https://www.google.com/maps?q=18.4849972,-69.7530379" TargetMode="External"/><Relationship Id="rId203" Type="http://schemas.openxmlformats.org/officeDocument/2006/relationships/hyperlink" Target="https://www.google.com/maps?q=18.4848275,-69.7535046" TargetMode="External"/><Relationship Id="rId204" Type="http://schemas.openxmlformats.org/officeDocument/2006/relationships/hyperlink" Target="https://www.google.com/maps?q=18.485161,-69.75366" TargetMode="External"/><Relationship Id="rId205" Type="http://schemas.openxmlformats.org/officeDocument/2006/relationships/hyperlink" Target="https://www.google.com/maps?q=18.4851574,-69.7535086" TargetMode="External"/><Relationship Id="rId206" Type="http://schemas.openxmlformats.org/officeDocument/2006/relationships/hyperlink" Target="https://www.google.com/maps?q=18.4855882,-69.7536669" TargetMode="External"/><Relationship Id="rId207" Type="http://schemas.openxmlformats.org/officeDocument/2006/relationships/hyperlink" Target="https://www.google.com/maps?q=18.4855804,-69.7535158" TargetMode="External"/><Relationship Id="rId208" Type="http://schemas.openxmlformats.org/officeDocument/2006/relationships/hyperlink" Target="https://www.google.com/maps?q=18.486611,-69.7535325" TargetMode="External"/><Relationship Id="rId209" Type="http://schemas.openxmlformats.org/officeDocument/2006/relationships/hyperlink" Target="https://www.google.com/maps?q=18.4869371,-69.7535391" TargetMode="External"/><Relationship Id="rId210" Type="http://schemas.openxmlformats.org/officeDocument/2006/relationships/hyperlink" Target="https://www.google.com/maps?q=18.4872858,-69.7535428" TargetMode="External"/><Relationship Id="rId211" Type="http://schemas.openxmlformats.org/officeDocument/2006/relationships/hyperlink" Target="https://www.google.com/maps?q=18.4876382,-69.7535483" TargetMode="External"/><Relationship Id="rId212" Type="http://schemas.openxmlformats.org/officeDocument/2006/relationships/hyperlink" Target="https://www.google.com/maps?q=18.4876319,-69.7536988" TargetMode="External"/><Relationship Id="rId213" Type="http://schemas.openxmlformats.org/officeDocument/2006/relationships/hyperlink" Target="https://www.google.com/maps?q=18.4882505,-69.7527679" TargetMode="External"/><Relationship Id="rId214" Type="http://schemas.openxmlformats.org/officeDocument/2006/relationships/hyperlink" Target="https://www.google.com/maps?q=18.4882772,-69.7522405" TargetMode="External"/><Relationship Id="rId215" Type="http://schemas.openxmlformats.org/officeDocument/2006/relationships/hyperlink" Target="https://www.google.com/maps?q=18.4884599,-69.7508717" TargetMode="External"/><Relationship Id="rId216" Type="http://schemas.openxmlformats.org/officeDocument/2006/relationships/hyperlink" Target="https://www.google.com/maps?q=18.488385,-69.7500712" TargetMode="External"/><Relationship Id="rId217" Type="http://schemas.openxmlformats.org/officeDocument/2006/relationships/hyperlink" Target="https://www.google.com/maps?q=18.4884179,-69.7494135" TargetMode="External"/><Relationship Id="rId218" Type="http://schemas.openxmlformats.org/officeDocument/2006/relationships/hyperlink" Target="https://www.google.com/maps?q=18.4886586,-69.7494218" TargetMode="External"/><Relationship Id="rId219" Type="http://schemas.openxmlformats.org/officeDocument/2006/relationships/hyperlink" Target="https://www.google.com/maps?q=18.4886249,-69.7500865" TargetMode="External"/><Relationship Id="rId220" Type="http://schemas.openxmlformats.org/officeDocument/2006/relationships/hyperlink" Target="https://www.google.com/maps?q=18.4885153,-69.7522564" TargetMode="External"/><Relationship Id="rId221" Type="http://schemas.openxmlformats.org/officeDocument/2006/relationships/hyperlink" Target="https://www.google.com/maps?q=18.4884901,-69.7527796" TargetMode="External"/><Relationship Id="rId222" Type="http://schemas.openxmlformats.org/officeDocument/2006/relationships/hyperlink" Target="https://www.google.com/maps?q=18.4894192,-69.7535757" TargetMode="External"/><Relationship Id="rId223" Type="http://schemas.openxmlformats.org/officeDocument/2006/relationships/hyperlink" Target="https://www.google.com/maps?q=18.4894078,-69.7537252" TargetMode="External"/><Relationship Id="rId224" Type="http://schemas.openxmlformats.org/officeDocument/2006/relationships/hyperlink" Target="https://www.google.com/maps?q=18.4896065,-69.7535798" TargetMode="External"/><Relationship Id="rId225" Type="http://schemas.openxmlformats.org/officeDocument/2006/relationships/hyperlink" Target="https://www.google.com/maps?q=18.4898284,-69.7535815" TargetMode="External"/><Relationship Id="rId226" Type="http://schemas.openxmlformats.org/officeDocument/2006/relationships/hyperlink" Target="https://www.google.com/maps?q=18.4900674,-69.7535873" TargetMode="External"/><Relationship Id="rId227" Type="http://schemas.openxmlformats.org/officeDocument/2006/relationships/hyperlink" Target="https://www.google.com/maps?q=18.4900661,-69.7537359" TargetMode="External"/><Relationship Id="rId228" Type="http://schemas.openxmlformats.org/officeDocument/2006/relationships/hyperlink" Target="https://www.google.com/maps?q=18.4902818,-69.7535889" TargetMode="External"/><Relationship Id="rId229" Type="http://schemas.openxmlformats.org/officeDocument/2006/relationships/hyperlink" Target="https://www.google.com/maps?q=18.4905345,-69.7535925" TargetMode="External"/><Relationship Id="rId230" Type="http://schemas.openxmlformats.org/officeDocument/2006/relationships/hyperlink" Target="https://www.google.com/maps?q=18.4913775,-69.7536069" TargetMode="External"/><Relationship Id="rId231" Type="http://schemas.openxmlformats.org/officeDocument/2006/relationships/hyperlink" Target="https://www.google.com/maps?q=18.4913714,-69.7537572" TargetMode="External"/><Relationship Id="rId232" Type="http://schemas.openxmlformats.org/officeDocument/2006/relationships/hyperlink" Target="https://www.google.com/maps?q=18.4917692,-69.7536124" TargetMode="External"/><Relationship Id="rId233" Type="http://schemas.openxmlformats.org/officeDocument/2006/relationships/hyperlink" Target="https://www.google.com/maps?q=18.4917761,-69.7537626" TargetMode="External"/><Relationship Id="rId234" Type="http://schemas.openxmlformats.org/officeDocument/2006/relationships/hyperlink" Target="https://www.google.com/maps?q=18.4922063,-69.7536193" TargetMode="External"/><Relationship Id="rId235" Type="http://schemas.openxmlformats.org/officeDocument/2006/relationships/hyperlink" Target="https://www.google.com/maps?q=18.4922054,-69.7537691" TargetMode="External"/><Relationship Id="rId236" Type="http://schemas.openxmlformats.org/officeDocument/2006/relationships/hyperlink" Target="https://www.google.com/maps?q=18.4924415,-69.7533247" TargetMode="External"/><Relationship Id="rId237" Type="http://schemas.openxmlformats.org/officeDocument/2006/relationships/hyperlink" Target="https://www.google.com/maps?q=18.4932177,-69.7505667" TargetMode="External"/><Relationship Id="rId238" Type="http://schemas.openxmlformats.org/officeDocument/2006/relationships/hyperlink" Target="https://www.google.com/maps?q=18.493588,-69.7505715" TargetMode="External"/><Relationship Id="rId239" Type="http://schemas.openxmlformats.org/officeDocument/2006/relationships/hyperlink" Target="https://www.google.com/maps?q=18.4940745,-69.7505783" TargetMode="External"/><Relationship Id="rId240" Type="http://schemas.openxmlformats.org/officeDocument/2006/relationships/hyperlink" Target="https://www.google.com/maps?q=18.4946755,-69.7505862" TargetMode="External"/><Relationship Id="rId241" Type="http://schemas.openxmlformats.org/officeDocument/2006/relationships/hyperlink" Target="https://www.google.com/maps?q=18.4951771,-69.750593" TargetMode="External"/><Relationship Id="rId242" Type="http://schemas.openxmlformats.org/officeDocument/2006/relationships/hyperlink" Target="https://www.google.com/maps?q=18.4962163,-69.7506067" TargetMode="External"/><Relationship Id="rId243" Type="http://schemas.openxmlformats.org/officeDocument/2006/relationships/hyperlink" Target="https://www.google.com/maps?q=18.4962162,-69.7506067" TargetMode="External"/><Relationship Id="rId244" Type="http://schemas.openxmlformats.org/officeDocument/2006/relationships/hyperlink" Target="https://www.google.com/maps?q=18.4966198,-69.7506129" TargetMode="External"/><Relationship Id="rId245" Type="http://schemas.openxmlformats.org/officeDocument/2006/relationships/hyperlink" Target="https://www.google.com/maps?q=18.4973119,-69.7506229" TargetMode="External"/><Relationship Id="rId246" Type="http://schemas.openxmlformats.org/officeDocument/2006/relationships/hyperlink" Target="https://www.google.com/maps?q=18.4973128,-69.7506224" TargetMode="External"/><Relationship Id="rId247" Type="http://schemas.openxmlformats.org/officeDocument/2006/relationships/hyperlink" Target="https://www.google.com/maps?q=18.4978102,-69.7506189" TargetMode="External"/><Relationship Id="rId248" Type="http://schemas.openxmlformats.org/officeDocument/2006/relationships/hyperlink" Target="https://www.google.com/maps?q=18.4985683,-69.7506392" TargetMode="External"/><Relationship Id="rId249" Type="http://schemas.openxmlformats.org/officeDocument/2006/relationships/hyperlink" Target="https://www.google.com/maps?q=18.4990277,-69.7506448" TargetMode="External"/><Relationship Id="rId250" Type="http://schemas.openxmlformats.org/officeDocument/2006/relationships/hyperlink" Target="https://www.google.com/maps?q=18.4990204,-69.7507971" TargetMode="External"/><Relationship Id="rId251" Type="http://schemas.openxmlformats.org/officeDocument/2006/relationships/hyperlink" Target="https://www.google.com/maps?q=18.4989418,-69.750797" TargetMode="External"/><Relationship Id="rId252" Type="http://schemas.openxmlformats.org/officeDocument/2006/relationships/hyperlink" Target="https://www.google.com/maps?q=18.4987553,-69.7507931" TargetMode="External"/><Relationship Id="rId253" Type="http://schemas.openxmlformats.org/officeDocument/2006/relationships/hyperlink" Target="https://www.google.com/maps?q=18.4985688,-69.7507912" TargetMode="External"/><Relationship Id="rId254" Type="http://schemas.openxmlformats.org/officeDocument/2006/relationships/hyperlink" Target="https://www.google.com/maps?q=18.4983713,-69.7507892" TargetMode="External"/><Relationship Id="rId255" Type="http://schemas.openxmlformats.org/officeDocument/2006/relationships/hyperlink" Target="https://www.google.com/maps?q=18.4981861,-69.7507854" TargetMode="External"/><Relationship Id="rId256" Type="http://schemas.openxmlformats.org/officeDocument/2006/relationships/hyperlink" Target="https://www.google.com/maps?q=18.4977169,-69.7507807" TargetMode="External"/><Relationship Id="rId257" Type="http://schemas.openxmlformats.org/officeDocument/2006/relationships/hyperlink" Target="https://www.google.com/maps?q=18.4974469,-69.7507761" TargetMode="External"/><Relationship Id="rId258" Type="http://schemas.openxmlformats.org/officeDocument/2006/relationships/hyperlink" Target="https://www.google.com/maps?q=18.4971707,-69.7507735" TargetMode="External"/><Relationship Id="rId259" Type="http://schemas.openxmlformats.org/officeDocument/2006/relationships/hyperlink" Target="https://www.google.com/maps?q=18.496897,-69.7507684" TargetMode="External"/><Relationship Id="rId260" Type="http://schemas.openxmlformats.org/officeDocument/2006/relationships/hyperlink" Target="https://www.google.com/maps?q=18.4966152,-69.7507653" TargetMode="External"/><Relationship Id="rId261" Type="http://schemas.openxmlformats.org/officeDocument/2006/relationships/hyperlink" Target="https://www.google.com/maps?q=18.4962057,-69.7507602" TargetMode="External"/><Relationship Id="rId262" Type="http://schemas.openxmlformats.org/officeDocument/2006/relationships/hyperlink" Target="https://www.google.com/maps?q=18.4954558,-69.75075" TargetMode="External"/><Relationship Id="rId263" Type="http://schemas.openxmlformats.org/officeDocument/2006/relationships/hyperlink" Target="https://www.google.com/maps?q=18.4952467,-69.7507473" TargetMode="External"/><Relationship Id="rId264" Type="http://schemas.openxmlformats.org/officeDocument/2006/relationships/hyperlink" Target="https://www.google.com/maps?q=18.4950309,-69.7507445" TargetMode="External"/><Relationship Id="rId265" Type="http://schemas.openxmlformats.org/officeDocument/2006/relationships/hyperlink" Target="https://www.google.com/maps?q=18.4948201,-69.7507417" TargetMode="External"/><Relationship Id="rId266" Type="http://schemas.openxmlformats.org/officeDocument/2006/relationships/hyperlink" Target="https://www.google.com/maps?q=18.4946057,-69.7507382" TargetMode="External"/><Relationship Id="rId267" Type="http://schemas.openxmlformats.org/officeDocument/2006/relationships/hyperlink" Target="https://www.google.com/maps?q=18.4943922,-69.7507356" TargetMode="External"/><Relationship Id="rId268" Type="http://schemas.openxmlformats.org/officeDocument/2006/relationships/hyperlink" Target="https://www.google.com/maps?q=18.4940912,-69.7507303" TargetMode="External"/><Relationship Id="rId269" Type="http://schemas.openxmlformats.org/officeDocument/2006/relationships/hyperlink" Target="https://www.google.com/maps?q=18.4935789,-69.7507245" TargetMode="External"/><Relationship Id="rId270" Type="http://schemas.openxmlformats.org/officeDocument/2006/relationships/hyperlink" Target="https://www.google.com/maps?q=18.4932037,-69.7507189" TargetMode="External"/><Relationship Id="rId271" Type="http://schemas.openxmlformats.org/officeDocument/2006/relationships/hyperlink" Target="https://www.google.com/maps?q=18.4955561,-69.7501123" TargetMode="External"/><Relationship Id="rId272" Type="http://schemas.openxmlformats.org/officeDocument/2006/relationships/hyperlink" Target="https://www.google.com/maps?q=18.4954929,-69.7498553" TargetMode="External"/><Relationship Id="rId273" Type="http://schemas.openxmlformats.org/officeDocument/2006/relationships/hyperlink" Target="https://www.google.com/maps?q=18.4954077,-69.7494944" TargetMode="External"/><Relationship Id="rId274" Type="http://schemas.openxmlformats.org/officeDocument/2006/relationships/hyperlink" Target="https://www.google.com/maps?q=18.495345,-69.7492284" TargetMode="External"/><Relationship Id="rId275" Type="http://schemas.openxmlformats.org/officeDocument/2006/relationships/hyperlink" Target="https://www.google.com/maps?q=18.4953016,-69.749071" TargetMode="External"/><Relationship Id="rId276" Type="http://schemas.openxmlformats.org/officeDocument/2006/relationships/hyperlink" Target="https://www.google.com/maps?q=18.4951847,-69.7488185" TargetMode="External"/><Relationship Id="rId277" Type="http://schemas.openxmlformats.org/officeDocument/2006/relationships/hyperlink" Target="https://www.google.com/maps?q=18.4950746,-69.7485803" TargetMode="External"/><Relationship Id="rId278" Type="http://schemas.openxmlformats.org/officeDocument/2006/relationships/hyperlink" Target="https://www.google.com/maps?q=18.4949558,-69.7483224" TargetMode="External"/><Relationship Id="rId279" Type="http://schemas.openxmlformats.org/officeDocument/2006/relationships/hyperlink" Target="https://www.google.com/maps?q=18.4947776,-69.7479352" TargetMode="External"/><Relationship Id="rId280" Type="http://schemas.openxmlformats.org/officeDocument/2006/relationships/hyperlink" Target="https://www.google.com/maps?q=18.4941754,-69.7468016" TargetMode="External"/><Relationship Id="rId281" Type="http://schemas.openxmlformats.org/officeDocument/2006/relationships/hyperlink" Target="https://www.google.com/maps?q=18.4944477,-69.7466455" TargetMode="External"/><Relationship Id="rId282" Type="http://schemas.openxmlformats.org/officeDocument/2006/relationships/hyperlink" Target="https://www.google.com/maps?q=18.4949091,-69.7478735" TargetMode="External"/><Relationship Id="rId283" Type="http://schemas.openxmlformats.org/officeDocument/2006/relationships/hyperlink" Target="https://www.google.com/maps?q=18.495086,-69.7482567" TargetMode="External"/><Relationship Id="rId284" Type="http://schemas.openxmlformats.org/officeDocument/2006/relationships/hyperlink" Target="https://www.google.com/maps?q=18.4952002,-69.7485088" TargetMode="External"/><Relationship Id="rId285" Type="http://schemas.openxmlformats.org/officeDocument/2006/relationships/hyperlink" Target="https://www.google.com/maps?q=18.4953133,-69.7487499" TargetMode="External"/><Relationship Id="rId286" Type="http://schemas.openxmlformats.org/officeDocument/2006/relationships/hyperlink" Target="https://www.google.com/maps?q=18.4954311,-69.749007" TargetMode="External"/><Relationship Id="rId287" Type="http://schemas.openxmlformats.org/officeDocument/2006/relationships/hyperlink" Target="https://www.google.com/maps?q=18.4954837,-69.7491931" TargetMode="External"/><Relationship Id="rId288" Type="http://schemas.openxmlformats.org/officeDocument/2006/relationships/hyperlink" Target="https://www.google.com/maps?q=18.4955465,-69.7494562" TargetMode="External"/><Relationship Id="rId289" Type="http://schemas.openxmlformats.org/officeDocument/2006/relationships/hyperlink" Target="https://www.google.com/maps?q=18.495632,-69.7498163" TargetMode="External"/><Relationship Id="rId290" Type="http://schemas.openxmlformats.org/officeDocument/2006/relationships/hyperlink" Target="https://www.google.com/maps?q=18.4956915,-69.7500686" TargetMode="External"/><Relationship Id="rId291" Type="http://schemas.openxmlformats.org/officeDocument/2006/relationships/hyperlink" Target="https://www.google.com/maps?q=18.4978847,-69.7504838" TargetMode="External"/><Relationship Id="rId292" Type="http://schemas.openxmlformats.org/officeDocument/2006/relationships/hyperlink" Target="https://www.google.com/maps?q=18.4979657,-69.7504984" TargetMode="External"/><Relationship Id="rId293" Type="http://schemas.openxmlformats.org/officeDocument/2006/relationships/hyperlink" Target="https://www.google.com/maps?q=18.4972721,-69.748707" TargetMode="External"/><Relationship Id="rId294" Type="http://schemas.openxmlformats.org/officeDocument/2006/relationships/hyperlink" Target="https://www.google.com/maps?q=18.4973484,-69.7486649" TargetMode="External"/><Relationship Id="rId295" Type="http://schemas.openxmlformats.org/officeDocument/2006/relationships/hyperlink" Target="https://www.google.com/maps?q=18.4969736,-69.7480762" TargetMode="External"/><Relationship Id="rId296" Type="http://schemas.openxmlformats.org/officeDocument/2006/relationships/hyperlink" Target="https://www.google.com/maps?q=18.4970527,-69.748033" TargetMode="External"/><Relationship Id="rId297" Type="http://schemas.openxmlformats.org/officeDocument/2006/relationships/hyperlink" Target="https://www.google.com/maps?q=18.4962912,-69.7466257" TargetMode="External"/><Relationship Id="rId298" Type="http://schemas.openxmlformats.org/officeDocument/2006/relationships/hyperlink" Target="https://www.google.com/maps?q=18.4963744,-69.7465922" TargetMode="External"/><Relationship Id="rId299" Type="http://schemas.openxmlformats.org/officeDocument/2006/relationships/hyperlink" Target="https://www.google.com/maps?q=18.495888,-69.7460536" TargetMode="External"/><Relationship Id="rId300" Type="http://schemas.openxmlformats.org/officeDocument/2006/relationships/hyperlink" Target="https://www.google.com/maps?q=18.494633,-69.7467098" TargetMode="External"/><Relationship Id="rId301" Type="http://schemas.openxmlformats.org/officeDocument/2006/relationships/hyperlink" Target="https://www.google.com/maps?q=18.4945148,-69.7464805" TargetMode="External"/><Relationship Id="rId302" Type="http://schemas.openxmlformats.org/officeDocument/2006/relationships/hyperlink" Target="https://www.google.com/maps?q=18.4951326,-69.7461614" TargetMode="External"/><Relationship Id="rId303" Type="http://schemas.openxmlformats.org/officeDocument/2006/relationships/hyperlink" Target="https://www.google.com/maps?q=18.4954649,-69.7459906" TargetMode="External"/><Relationship Id="rId304" Type="http://schemas.openxmlformats.org/officeDocument/2006/relationships/hyperlink" Target="https://www.google.com/maps?q=18.4958293,-69.7458025" TargetMode="External"/><Relationship Id="rId305" Type="http://schemas.openxmlformats.org/officeDocument/2006/relationships/hyperlink" Target="https://www.google.com/maps?q=18.4965748,-69.7454164" TargetMode="External"/><Relationship Id="rId306" Type="http://schemas.openxmlformats.org/officeDocument/2006/relationships/hyperlink" Target="https://www.google.com/maps?q=18.497039,-69.7451579" TargetMode="External"/><Relationship Id="rId307" Type="http://schemas.openxmlformats.org/officeDocument/2006/relationships/hyperlink" Target="https://www.google.com/maps?q=18.4972989,-69.7449003" TargetMode="External"/><Relationship Id="rId308" Type="http://schemas.openxmlformats.org/officeDocument/2006/relationships/hyperlink" Target="https://www.google.com/maps?q=18.4974147,-69.7449538" TargetMode="External"/><Relationship Id="rId309" Type="http://schemas.openxmlformats.org/officeDocument/2006/relationships/hyperlink" Target="https://www.google.com/maps?q=18.4973303,-69.7445379" TargetMode="External"/><Relationship Id="rId310" Type="http://schemas.openxmlformats.org/officeDocument/2006/relationships/hyperlink" Target="https://www.google.com/maps?q=18.4969398,-69.7436986" TargetMode="External"/><Relationship Id="rId311" Type="http://schemas.openxmlformats.org/officeDocument/2006/relationships/hyperlink" Target="https://www.google.com/maps?q=18.4974192,-69.7444918" TargetMode="External"/><Relationship Id="rId312" Type="http://schemas.openxmlformats.org/officeDocument/2006/relationships/hyperlink" Target="https://www.google.com/maps?q=18.4981562,-69.7459282" TargetMode="External"/><Relationship Id="rId313" Type="http://schemas.openxmlformats.org/officeDocument/2006/relationships/hyperlink" Target="https://www.google.com/maps?q=18.4984728,-69.7466049" TargetMode="External"/><Relationship Id="rId314" Type="http://schemas.openxmlformats.org/officeDocument/2006/relationships/hyperlink" Target="https://www.google.com/maps?q=18.4988714,-69.7476274" TargetMode="External"/><Relationship Id="rId315" Type="http://schemas.openxmlformats.org/officeDocument/2006/relationships/hyperlink" Target="https://www.google.com/maps?q=18.4989207,-69.7477843" TargetMode="External"/><Relationship Id="rId316" Type="http://schemas.openxmlformats.org/officeDocument/2006/relationships/hyperlink" Target="https://www.google.com/maps?q=18.4995176,-69.7496876" TargetMode="External"/><Relationship Id="rId317" Type="http://schemas.openxmlformats.org/officeDocument/2006/relationships/hyperlink" Target="https://www.google.com/maps?q=18.4993755,-69.7497229" TargetMode="External"/><Relationship Id="rId318" Type="http://schemas.openxmlformats.org/officeDocument/2006/relationships/hyperlink" Target="https://www.google.com/maps?q=18.4987822,-69.7478249" TargetMode="External"/><Relationship Id="rId319" Type="http://schemas.openxmlformats.org/officeDocument/2006/relationships/hyperlink" Target="https://www.google.com/maps?q=18.4983534,-69.7466895" TargetMode="External"/><Relationship Id="rId320" Type="http://schemas.openxmlformats.org/officeDocument/2006/relationships/hyperlink" Target="https://www.google.com/maps?q=18.4980249,-69.7459936" TargetMode="External"/><Relationship Id="rId321" Type="http://schemas.openxmlformats.org/officeDocument/2006/relationships/hyperlink" Target="https://www.google.com/maps?q=18.4976413,-69.7452099" TargetMode="External"/><Relationship Id="rId322" Type="http://schemas.openxmlformats.org/officeDocument/2006/relationships/hyperlink" Target="https://www.google.com/maps?q=18.4975646,-69.7445361" TargetMode="External"/><Relationship Id="rId323" Type="http://schemas.openxmlformats.org/officeDocument/2006/relationships/hyperlink" Target="https://www.google.com/maps?q=18.497676,-69.744621" TargetMode="External"/><Relationship Id="rId324" Type="http://schemas.openxmlformats.org/officeDocument/2006/relationships/hyperlink" Target="https://www.google.com/maps?q=18.4982149,-69.743891" TargetMode="External"/><Relationship Id="rId325" Type="http://schemas.openxmlformats.org/officeDocument/2006/relationships/hyperlink" Target="https://www.google.com/maps?q=18.4982956,-69.7439558" TargetMode="External"/><Relationship Id="rId326" Type="http://schemas.openxmlformats.org/officeDocument/2006/relationships/hyperlink" Target="https://www.google.com/maps?q=18.4991569,-69.7433214" TargetMode="External"/><Relationship Id="rId327" Type="http://schemas.openxmlformats.org/officeDocument/2006/relationships/hyperlink" Target="https://www.google.com/maps?q=18.4987741,-69.7425423" TargetMode="External"/><Relationship Id="rId328" Type="http://schemas.openxmlformats.org/officeDocument/2006/relationships/hyperlink" Target="https://www.google.com/maps?q=18.4978173,-69.7408776" TargetMode="External"/><Relationship Id="rId329" Type="http://schemas.openxmlformats.org/officeDocument/2006/relationships/hyperlink" Target="https://www.google.com/maps?q=18.4977896,-69.740859" TargetMode="External"/><Relationship Id="rId330" Type="http://schemas.openxmlformats.org/officeDocument/2006/relationships/hyperlink" Target="https://www.google.com/maps?q=18.4967196,-69.7410185" TargetMode="External"/><Relationship Id="rId331" Type="http://schemas.openxmlformats.org/officeDocument/2006/relationships/hyperlink" Target="https://www.google.com/maps?q=18.4967191,-69.7424551" TargetMode="External"/><Relationship Id="rId332" Type="http://schemas.openxmlformats.org/officeDocument/2006/relationships/hyperlink" Target="https://www.google.com/maps?q=18.4966071,-69.7417397" TargetMode="External"/><Relationship Id="rId333" Type="http://schemas.openxmlformats.org/officeDocument/2006/relationships/hyperlink" Target="https://www.google.com/maps?q=18.4966062,-69.7410176" TargetMode="External"/><Relationship Id="rId334" Type="http://schemas.openxmlformats.org/officeDocument/2006/relationships/hyperlink" Target="https://www.google.com/maps?q=18.4966048,-69.7402586" TargetMode="External"/><Relationship Id="rId335" Type="http://schemas.openxmlformats.org/officeDocument/2006/relationships/hyperlink" Target="https://www.google.com/maps?q=18.4966161,-69.738911" TargetMode="External"/><Relationship Id="rId336" Type="http://schemas.openxmlformats.org/officeDocument/2006/relationships/hyperlink" Target="https://www.google.com/maps?q=18.4966057,-69.7389082" TargetMode="External"/><Relationship Id="rId337" Type="http://schemas.openxmlformats.org/officeDocument/2006/relationships/hyperlink" Target="https://www.google.com/maps?q=18.4967167,-69.738924" TargetMode="External"/><Relationship Id="rId338" Type="http://schemas.openxmlformats.org/officeDocument/2006/relationships/hyperlink" Target="https://www.google.com/maps?q=18.4967175,-69.7402581" TargetMode="External"/><Relationship Id="rId339" Type="http://schemas.openxmlformats.org/officeDocument/2006/relationships/hyperlink" Target="https://www.google.com/maps?q=18.4973577,-69.7407236" TargetMode="External"/><Relationship Id="rId340" Type="http://schemas.openxmlformats.org/officeDocument/2006/relationships/hyperlink" Target="https://www.google.com/maps?q=18.4977618,-69.7407223" TargetMode="External"/><Relationship Id="rId341" Type="http://schemas.openxmlformats.org/officeDocument/2006/relationships/hyperlink" Target="https://www.google.com/maps?q=18.4991232,-69.7403781" TargetMode="External"/><Relationship Id="rId342" Type="http://schemas.openxmlformats.org/officeDocument/2006/relationships/hyperlink" Target="https://www.google.com/maps?q=18.4996782,-69.7400369" TargetMode="External"/><Relationship Id="rId343" Type="http://schemas.openxmlformats.org/officeDocument/2006/relationships/hyperlink" Target="https://www.google.com/maps?q=18.4984572,-69.7411011" TargetMode="External"/><Relationship Id="rId344" Type="http://schemas.openxmlformats.org/officeDocument/2006/relationships/hyperlink" Target="https://www.google.com/maps?q=18.4982499,-69.7410365" TargetMode="External"/><Relationship Id="rId345" Type="http://schemas.openxmlformats.org/officeDocument/2006/relationships/hyperlink" Target="https://www.google.com/maps?q=18.4986899,-69.741584" TargetMode="External"/><Relationship Id="rId346" Type="http://schemas.openxmlformats.org/officeDocument/2006/relationships/hyperlink" Target="https://www.google.com/maps?q=18.4990676,-69.7424188" TargetMode="External"/><Relationship Id="rId347" Type="http://schemas.openxmlformats.org/officeDocument/2006/relationships/hyperlink" Target="https://www.google.com/maps?q=18.4993823,-69.7430717" TargetMode="External"/><Relationship Id="rId348" Type="http://schemas.openxmlformats.org/officeDocument/2006/relationships/hyperlink" Target="https://www.google.com/maps?q=18.5000136,-69.7429582" TargetMode="External"/><Relationship Id="rId349" Type="http://schemas.openxmlformats.org/officeDocument/2006/relationships/hyperlink" Target="https://www.google.com/maps?q=18.5000218,-69.7430636" TargetMode="External"/><Relationship Id="rId350" Type="http://schemas.openxmlformats.org/officeDocument/2006/relationships/hyperlink" Target="https://www.google.com/maps?q=18.502959,-69.7414366" TargetMode="External"/><Relationship Id="rId351" Type="http://schemas.openxmlformats.org/officeDocument/2006/relationships/hyperlink" Target="https://www.google.com/maps?q=18.5029594,-69.7415459" TargetMode="External"/><Relationship Id="rId352" Type="http://schemas.openxmlformats.org/officeDocument/2006/relationships/hyperlink" Target="https://www.google.com/maps?q=18.505812,-69.7411255" TargetMode="External"/><Relationship Id="rId353" Type="http://schemas.openxmlformats.org/officeDocument/2006/relationships/hyperlink" Target="https://www.google.com/maps?q=18.5057188,-69.7411192" TargetMode="External"/><Relationship Id="rId354" Type="http://schemas.openxmlformats.org/officeDocument/2006/relationships/hyperlink" Target="https://www.google.com/maps?q=18.5056392,-69.7416211" TargetMode="External"/><Relationship Id="rId355" Type="http://schemas.openxmlformats.org/officeDocument/2006/relationships/hyperlink" Target="https://www.google.com/maps?q=18.505272,-69.7417658" TargetMode="External"/><Relationship Id="rId356" Type="http://schemas.openxmlformats.org/officeDocument/2006/relationships/hyperlink" Target="https://www.google.com/maps?q=18.5051627,-69.741932" TargetMode="External"/><Relationship Id="rId357" Type="http://schemas.openxmlformats.org/officeDocument/2006/relationships/hyperlink" Target="https://www.google.com/maps?q=18.5045223,-69.7422801" TargetMode="External"/><Relationship Id="rId358" Type="http://schemas.openxmlformats.org/officeDocument/2006/relationships/hyperlink" Target="https://www.google.com/maps?q=18.5032386,-69.7429323" TargetMode="External"/><Relationship Id="rId359" Type="http://schemas.openxmlformats.org/officeDocument/2006/relationships/hyperlink" Target="https://www.google.com/maps?q=18.5031816,-69.7428292" TargetMode="External"/><Relationship Id="rId360" Type="http://schemas.openxmlformats.org/officeDocument/2006/relationships/hyperlink" Target="https://www.google.com/maps?q=18.5029644,-69.7429571" TargetMode="External"/><Relationship Id="rId361" Type="http://schemas.openxmlformats.org/officeDocument/2006/relationships/hyperlink" Target="https://www.google.com/maps?q=18.5030197,-69.743038" TargetMode="External"/><Relationship Id="rId362" Type="http://schemas.openxmlformats.org/officeDocument/2006/relationships/hyperlink" Target="https://www.google.com/maps?q=18.5026373,-69.7432347" TargetMode="External"/><Relationship Id="rId363" Type="http://schemas.openxmlformats.org/officeDocument/2006/relationships/hyperlink" Target="https://www.google.com/maps?q=18.5025965,-69.7431468" TargetMode="External"/><Relationship Id="rId364" Type="http://schemas.openxmlformats.org/officeDocument/2006/relationships/hyperlink" Target="https://www.google.com/maps?q=18.5021506,-69.7433762" TargetMode="External"/><Relationship Id="rId365" Type="http://schemas.openxmlformats.org/officeDocument/2006/relationships/hyperlink" Target="https://www.google.com/maps?q=18.5021418,-69.7434899" TargetMode="External"/><Relationship Id="rId366" Type="http://schemas.openxmlformats.org/officeDocument/2006/relationships/hyperlink" Target="https://www.google.com/maps?q=18.5015118,-69.7438147" TargetMode="External"/><Relationship Id="rId367" Type="http://schemas.openxmlformats.org/officeDocument/2006/relationships/hyperlink" Target="https://www.google.com/maps?q=18.5012171,-69.7438578" TargetMode="External"/><Relationship Id="rId368" Type="http://schemas.openxmlformats.org/officeDocument/2006/relationships/hyperlink" Target="https://www.google.com/maps?q=18.5008569,-69.7441495" TargetMode="External"/><Relationship Id="rId369" Type="http://schemas.openxmlformats.org/officeDocument/2006/relationships/hyperlink" Target="https://www.google.com/maps?q=18.4998089,-69.7446905" TargetMode="External"/><Relationship Id="rId370" Type="http://schemas.openxmlformats.org/officeDocument/2006/relationships/hyperlink" Target="https://www.google.com/maps?q=18.4997638,-69.744606" TargetMode="External"/><Relationship Id="rId371" Type="http://schemas.openxmlformats.org/officeDocument/2006/relationships/hyperlink" Target="https://www.google.com/maps?q=18.4982386,-69.7453367" TargetMode="External"/><Relationship Id="rId372" Type="http://schemas.openxmlformats.org/officeDocument/2006/relationships/hyperlink" Target="https://www.google.com/maps?q=18.4982305,-69.7452372" TargetMode="External"/><Relationship Id="rId373" Type="http://schemas.openxmlformats.org/officeDocument/2006/relationships/hyperlink" Target="https://www.google.com/maps?q=18.4979501,-69.745195" TargetMode="External"/><Relationship Id="rId374" Type="http://schemas.openxmlformats.org/officeDocument/2006/relationships/hyperlink" Target="https://www.google.com/maps?q=18.4976412,-69.745209" TargetMode="External"/><Relationship Id="rId375" Type="http://schemas.openxmlformats.org/officeDocument/2006/relationships/hyperlink" Target="https://www.google.com/maps?q=18.4973756,-69.745245" TargetMode="External"/><Relationship Id="rId376" Type="http://schemas.openxmlformats.org/officeDocument/2006/relationships/hyperlink" Target="https://www.google.com/maps?q=18.4970604,-69.7454463" TargetMode="External"/><Relationship Id="rId377" Type="http://schemas.openxmlformats.org/officeDocument/2006/relationships/hyperlink" Target="https://www.google.com/maps?q=18.4939509,-69.7469493" TargetMode="External"/><Relationship Id="rId378" Type="http://schemas.openxmlformats.org/officeDocument/2006/relationships/hyperlink" Target="https://www.google.com/maps?q=18.4938885,-69.7468061" TargetMode="External"/><Relationship Id="rId379" Type="http://schemas.openxmlformats.org/officeDocument/2006/relationships/hyperlink" Target="https://www.google.com/maps?q=18.4939989,-69.7470321" TargetMode="External"/><Relationship Id="rId380" Type="http://schemas.openxmlformats.org/officeDocument/2006/relationships/hyperlink" Target="https://www.google.com/maps?q=18.4933989,-69.7472825" TargetMode="External"/><Relationship Id="rId381" Type="http://schemas.openxmlformats.org/officeDocument/2006/relationships/hyperlink" Target="https://www.google.com/maps?q=18.5030063,-69.7427579" TargetMode="External"/><Relationship Id="rId382" Type="http://schemas.openxmlformats.org/officeDocument/2006/relationships/hyperlink" Target="https://www.google.com/maps?q=18.5028191,-69.7423199" TargetMode="External"/><Relationship Id="rId383" Type="http://schemas.openxmlformats.org/officeDocument/2006/relationships/hyperlink" Target="https://www.google.com/maps?q=18.5028804,-69.742289" TargetMode="External"/><Relationship Id="rId384" Type="http://schemas.openxmlformats.org/officeDocument/2006/relationships/hyperlink" Target="https://www.google.com/maps?q=18.5032567,-69.7431538" TargetMode="External"/><Relationship Id="rId385" Type="http://schemas.openxmlformats.org/officeDocument/2006/relationships/hyperlink" Target="https://www.google.com/maps?q=18.5031963,-69.7431924" TargetMode="External"/><Relationship Id="rId386" Type="http://schemas.openxmlformats.org/officeDocument/2006/relationships/hyperlink" Target="https://www.google.com/maps?q=18.5035543,-69.74385" TargetMode="External"/><Relationship Id="rId387" Type="http://schemas.openxmlformats.org/officeDocument/2006/relationships/hyperlink" Target="https://www.google.com/maps?q=18.5034898,-69.743929" TargetMode="External"/><Relationship Id="rId388" Type="http://schemas.openxmlformats.org/officeDocument/2006/relationships/hyperlink" Target="https://www.google.com/maps?q=18.5036965,-69.7444122" TargetMode="External"/><Relationship Id="rId389" Type="http://schemas.openxmlformats.org/officeDocument/2006/relationships/hyperlink" Target="https://www.google.com/maps?q=18.5037757,-69.7443684" TargetMode="External"/><Relationship Id="rId390" Type="http://schemas.openxmlformats.org/officeDocument/2006/relationships/hyperlink" Target="https://www.google.com/maps?q=18.5039962,-69.7451161" TargetMode="External"/><Relationship Id="rId391" Type="http://schemas.openxmlformats.org/officeDocument/2006/relationships/hyperlink" Target="https://www.google.com/maps?q=18.5043083,-69.7456139" TargetMode="External"/><Relationship Id="rId392" Type="http://schemas.openxmlformats.org/officeDocument/2006/relationships/hyperlink" Target="https://www.google.com/maps?q=18.5042271,-69.7456538" TargetMode="External"/><Relationship Id="rId393" Type="http://schemas.openxmlformats.org/officeDocument/2006/relationships/hyperlink" Target="https://www.google.com/maps?q=18.5046814,-69.7464827" TargetMode="External"/><Relationship Id="rId394" Type="http://schemas.openxmlformats.org/officeDocument/2006/relationships/hyperlink" Target="https://www.google.com/maps?q=18.5046051,-69.74652" TargetMode="External"/><Relationship Id="rId395" Type="http://schemas.openxmlformats.org/officeDocument/2006/relationships/hyperlink" Target="https://www.google.com/maps?q=18.5052802,-69.746868" TargetMode="External"/><Relationship Id="rId396" Type="http://schemas.openxmlformats.org/officeDocument/2006/relationships/hyperlink" Target="https://www.google.com/maps?q=18.5060487,-69.7466638" TargetMode="External"/><Relationship Id="rId397" Type="http://schemas.openxmlformats.org/officeDocument/2006/relationships/hyperlink" Target="https://www.google.com/maps?q=18.5060517,-69.7467816" TargetMode="External"/><Relationship Id="rId398" Type="http://schemas.openxmlformats.org/officeDocument/2006/relationships/hyperlink" Target="https://www.google.com/maps?q=18.5061087,-69.7464922" TargetMode="External"/><Relationship Id="rId399" Type="http://schemas.openxmlformats.org/officeDocument/2006/relationships/hyperlink" Target="https://www.google.com/maps?q=18.5059334,-69.7457342" TargetMode="External"/><Relationship Id="rId400" Type="http://schemas.openxmlformats.org/officeDocument/2006/relationships/hyperlink" Target="https://www.google.com/maps?q=18.5056559,-69.7445488" TargetMode="External"/><Relationship Id="rId401" Type="http://schemas.openxmlformats.org/officeDocument/2006/relationships/hyperlink" Target="https://www.google.com/maps?q=18.5054342,-69.7440668" TargetMode="External"/><Relationship Id="rId402" Type="http://schemas.openxmlformats.org/officeDocument/2006/relationships/hyperlink" Target="https://www.google.com/maps?q=18.5051916,-69.7435513" TargetMode="External"/><Relationship Id="rId403" Type="http://schemas.openxmlformats.org/officeDocument/2006/relationships/hyperlink" Target="https://www.google.com/maps?q=18.5049639,-69.743068" TargetMode="External"/><Relationship Id="rId404" Type="http://schemas.openxmlformats.org/officeDocument/2006/relationships/hyperlink" Target="https://www.google.com/maps?q=18.5047388,-69.7425866" TargetMode="External"/><Relationship Id="rId405" Type="http://schemas.openxmlformats.org/officeDocument/2006/relationships/hyperlink" Target="https://www.google.com/maps?q=18.504885,-69.7425574" TargetMode="External"/><Relationship Id="rId406" Type="http://schemas.openxmlformats.org/officeDocument/2006/relationships/hyperlink" Target="https://www.google.com/maps?q=18.5050613,-69.7429311" TargetMode="External"/><Relationship Id="rId407" Type="http://schemas.openxmlformats.org/officeDocument/2006/relationships/hyperlink" Target="https://www.google.com/maps?q=18.5052209,-69.7432707" TargetMode="External"/><Relationship Id="rId408" Type="http://schemas.openxmlformats.org/officeDocument/2006/relationships/hyperlink" Target="https://www.google.com/maps?q=18.5053853,-69.7436221" TargetMode="External"/><Relationship Id="rId409" Type="http://schemas.openxmlformats.org/officeDocument/2006/relationships/hyperlink" Target="https://www.google.com/maps?q=18.5055297,-69.7439267" TargetMode="External"/><Relationship Id="rId410" Type="http://schemas.openxmlformats.org/officeDocument/2006/relationships/hyperlink" Target="https://www.google.com/maps?q=18.5056571,-69.7441949" TargetMode="External"/><Relationship Id="rId411" Type="http://schemas.openxmlformats.org/officeDocument/2006/relationships/hyperlink" Target="https://www.google.com/maps?q=18.5058017,-69.7445186" TargetMode="External"/><Relationship Id="rId412" Type="http://schemas.openxmlformats.org/officeDocument/2006/relationships/hyperlink" Target="https://www.google.com/maps?q=18.5058676,-69.7448002" TargetMode="External"/><Relationship Id="rId413" Type="http://schemas.openxmlformats.org/officeDocument/2006/relationships/hyperlink" Target="https://www.google.com/maps?q=18.5061046,-69.7458284" TargetMode="External"/><Relationship Id="rId414" Type="http://schemas.openxmlformats.org/officeDocument/2006/relationships/hyperlink" Target="https://www.google.com/maps?q=18.5062511,-69.7464608" TargetMode="External"/><Relationship Id="rId415" Type="http://schemas.openxmlformats.org/officeDocument/2006/relationships/hyperlink" Target="https://www.google.com/maps?q=18.5063598,-69.7465881" TargetMode="External"/><Relationship Id="rId416" Type="http://schemas.openxmlformats.org/officeDocument/2006/relationships/hyperlink" Target="https://www.google.com/maps?q=18.5068018,-69.7464799" TargetMode="External"/><Relationship Id="rId417" Type="http://schemas.openxmlformats.org/officeDocument/2006/relationships/hyperlink" Target="https://www.google.com/maps?q=18.5073268,-69.7463424" TargetMode="External"/><Relationship Id="rId418" Type="http://schemas.openxmlformats.org/officeDocument/2006/relationships/hyperlink" Target="https://www.google.com/maps?q=18.5074872,-69.7463953" TargetMode="External"/><Relationship Id="rId419" Type="http://schemas.openxmlformats.org/officeDocument/2006/relationships/hyperlink" Target="https://www.google.com/maps?q=18.5074822,-69.7465933" TargetMode="External"/><Relationship Id="rId420" Type="http://schemas.openxmlformats.org/officeDocument/2006/relationships/hyperlink" Target="https://www.google.com/maps?q=18.5074386,-69.7466792" TargetMode="External"/><Relationship Id="rId421" Type="http://schemas.openxmlformats.org/officeDocument/2006/relationships/hyperlink" Target="https://www.google.com/maps?q=18.5069546,-69.7468047" TargetMode="External"/><Relationship Id="rId422" Type="http://schemas.openxmlformats.org/officeDocument/2006/relationships/hyperlink" Target="https://www.google.com/maps?q=18.506162,-69.7470187" TargetMode="External"/><Relationship Id="rId423" Type="http://schemas.openxmlformats.org/officeDocument/2006/relationships/hyperlink" Target="https://www.google.com/maps?q=18.5060748,-69.7469309" TargetMode="External"/><Relationship Id="rId424" Type="http://schemas.openxmlformats.org/officeDocument/2006/relationships/hyperlink" Target="https://www.google.com/maps?q=18.5054255,-69.7471969" TargetMode="External"/><Relationship Id="rId425" Type="http://schemas.openxmlformats.org/officeDocument/2006/relationships/hyperlink" Target="https://www.google.com/maps?q=18.5051087,-69.7472766" TargetMode="External"/><Relationship Id="rId426" Type="http://schemas.openxmlformats.org/officeDocument/2006/relationships/hyperlink" Target="https://www.google.com/maps?q=18.5063377,-69.7474798" TargetMode="External"/><Relationship Id="rId427" Type="http://schemas.openxmlformats.org/officeDocument/2006/relationships/hyperlink" Target="https://www.google.com/maps?q=18.5064977,-69.7475172" TargetMode="External"/><Relationship Id="rId428" Type="http://schemas.openxmlformats.org/officeDocument/2006/relationships/hyperlink" Target="https://www.google.com/maps?q=18.5066838,-69.7483219" TargetMode="External"/><Relationship Id="rId429" Type="http://schemas.openxmlformats.org/officeDocument/2006/relationships/hyperlink" Target="https://www.google.com/maps?q=18.5067682,-69.7486886" TargetMode="External"/><Relationship Id="rId430" Type="http://schemas.openxmlformats.org/officeDocument/2006/relationships/hyperlink" Target="https://www.google.com/maps?q=18.5066247,-69.7487234" TargetMode="External"/><Relationship Id="rId431" Type="http://schemas.openxmlformats.org/officeDocument/2006/relationships/hyperlink" Target="https://www.google.com/maps?q=18.507607,-69.7489343" TargetMode="External"/><Relationship Id="rId432" Type="http://schemas.openxmlformats.org/officeDocument/2006/relationships/hyperlink" Target="https://www.google.com/maps?q=18.507691,-69.7490466" TargetMode="External"/><Relationship Id="rId433" Type="http://schemas.openxmlformats.org/officeDocument/2006/relationships/hyperlink" Target="https://www.google.com/maps?q=18.5078707,-69.7499402" TargetMode="External"/><Relationship Id="rId434" Type="http://schemas.openxmlformats.org/officeDocument/2006/relationships/hyperlink" Target="https://www.google.com/maps?q=18.5077462,-69.750057" TargetMode="External"/><Relationship Id="rId435" Type="http://schemas.openxmlformats.org/officeDocument/2006/relationships/hyperlink" Target="https://www.google.com/maps?q=18.50848,-69.7498743" TargetMode="External"/><Relationship Id="rId436" Type="http://schemas.openxmlformats.org/officeDocument/2006/relationships/hyperlink" Target="https://www.google.com/maps?q=18.508534,-69.7500583" TargetMode="External"/><Relationship Id="rId437" Type="http://schemas.openxmlformats.org/officeDocument/2006/relationships/hyperlink" Target="https://www.google.com/maps?q=18.5077088,-69.7502722" TargetMode="External"/><Relationship Id="rId438" Type="http://schemas.openxmlformats.org/officeDocument/2006/relationships/hyperlink" Target="https://www.google.com/maps?q=18.5076067,-69.7503313" TargetMode="External"/><Relationship Id="rId439" Type="http://schemas.openxmlformats.org/officeDocument/2006/relationships/hyperlink" Target="https://www.google.com/maps?q=18.5062477,-69.7506491" TargetMode="External"/><Relationship Id="rId440" Type="http://schemas.openxmlformats.org/officeDocument/2006/relationships/hyperlink" Target="https://www.google.com/maps?q=18.506235,-69.7504556" TargetMode="External"/><Relationship Id="rId441" Type="http://schemas.openxmlformats.org/officeDocument/2006/relationships/hyperlink" Target="https://www.google.com/maps?q=18.507148,-69.7501972" TargetMode="External"/><Relationship Id="rId442" Type="http://schemas.openxmlformats.org/officeDocument/2006/relationships/hyperlink" Target="https://www.google.com/maps?q=18.5059918,-69.7494086" TargetMode="External"/><Relationship Id="rId443" Type="http://schemas.openxmlformats.org/officeDocument/2006/relationships/hyperlink" Target="https://www.google.com/maps?q=18.5060692,-69.7494223" TargetMode="External"/><Relationship Id="rId444" Type="http://schemas.openxmlformats.org/officeDocument/2006/relationships/hyperlink" Target="https://www.google.com/maps?q=18.5064641,-69.7492892" TargetMode="External"/><Relationship Id="rId445" Type="http://schemas.openxmlformats.org/officeDocument/2006/relationships/hyperlink" Target="https://www.google.com/maps?q=18.5074095,-69.753077" TargetMode="External"/><Relationship Id="rId446" Type="http://schemas.openxmlformats.org/officeDocument/2006/relationships/hyperlink" Target="https://www.google.com/maps?q=18.5076808,-69.7530729" TargetMode="External"/><Relationship Id="rId447" Type="http://schemas.openxmlformats.org/officeDocument/2006/relationships/hyperlink" Target="https://www.google.com/maps?q=18.5079744,-69.7527401" TargetMode="External"/><Relationship Id="rId448" Type="http://schemas.openxmlformats.org/officeDocument/2006/relationships/hyperlink" Target="https://www.google.com/maps?q=18.5081799,-69.7527392" TargetMode="External"/><Relationship Id="rId449" Type="http://schemas.openxmlformats.org/officeDocument/2006/relationships/hyperlink" Target="https://www.google.com/maps?q=18.5082873,-69.7526339" TargetMode="External"/><Relationship Id="rId450" Type="http://schemas.openxmlformats.org/officeDocument/2006/relationships/hyperlink" Target="https://www.google.com/maps?q=18.5084931,-69.7526873" TargetMode="External"/><Relationship Id="rId451" Type="http://schemas.openxmlformats.org/officeDocument/2006/relationships/hyperlink" Target="https://www.google.com/maps?q=18.5082407,-69.7529365" TargetMode="External"/><Relationship Id="rId452" Type="http://schemas.openxmlformats.org/officeDocument/2006/relationships/hyperlink" Target="https://www.google.com/maps?q=18.5072319,-69.7525469" TargetMode="External"/><Relationship Id="rId453" Type="http://schemas.openxmlformats.org/officeDocument/2006/relationships/hyperlink" Target="https://www.google.com/maps?q=18.506745,-69.7515924" TargetMode="External"/><Relationship Id="rId454" Type="http://schemas.openxmlformats.org/officeDocument/2006/relationships/hyperlink" Target="https://www.google.com/maps?q=18.5069002,-69.7532205" TargetMode="External"/><Relationship Id="rId455" Type="http://schemas.openxmlformats.org/officeDocument/2006/relationships/hyperlink" Target="https://www.google.com/maps?q=18.5074083,-69.7542792" TargetMode="External"/><Relationship Id="rId456" Type="http://schemas.openxmlformats.org/officeDocument/2006/relationships/hyperlink" Target="https://www.google.com/maps?q=18.5081023,-69.7541132" TargetMode="External"/><Relationship Id="rId457" Type="http://schemas.openxmlformats.org/officeDocument/2006/relationships/hyperlink" Target="https://www.google.com/maps?q=18.5085507,-69.7528194" TargetMode="External"/><Relationship Id="rId458" Type="http://schemas.openxmlformats.org/officeDocument/2006/relationships/hyperlink" Target="https://www.google.com/maps?q=18.5083584,-69.7511698" TargetMode="External"/><Relationship Id="rId459" Type="http://schemas.openxmlformats.org/officeDocument/2006/relationships/hyperlink" Target="https://www.google.com/maps?q=18.5074761,-69.751311" TargetMode="External"/><Relationship Id="rId460" Type="http://schemas.openxmlformats.org/officeDocument/2006/relationships/hyperlink" Target="https://www.google.com/maps?q=18.5069047,-69.7513769" TargetMode="External"/><Relationship Id="rId461" Type="http://schemas.openxmlformats.org/officeDocument/2006/relationships/hyperlink" Target="https://www.google.com/maps?q=18.5066199,-69.7514265" TargetMode="External"/><Relationship Id="rId462" Type="http://schemas.openxmlformats.org/officeDocument/2006/relationships/hyperlink" Target="https://www.google.com/maps?q=18.5075221,-69.7449713" TargetMode="External"/><Relationship Id="rId463" Type="http://schemas.openxmlformats.org/officeDocument/2006/relationships/hyperlink" Target="https://www.google.com/maps?q=18.5076091,-69.7449196" TargetMode="External"/><Relationship Id="rId464" Type="http://schemas.openxmlformats.org/officeDocument/2006/relationships/hyperlink" Target="https://www.google.com/maps?q=18.5076313,-69.7442224" TargetMode="External"/><Relationship Id="rId465" Type="http://schemas.openxmlformats.org/officeDocument/2006/relationships/hyperlink" Target="https://www.google.com/maps?q=18.5076394,-69.7442067" TargetMode="External"/><Relationship Id="rId466" Type="http://schemas.openxmlformats.org/officeDocument/2006/relationships/hyperlink" Target="https://www.google.com/maps?q=18.5076854,-69.7442679" TargetMode="External"/><Relationship Id="rId467" Type="http://schemas.openxmlformats.org/officeDocument/2006/relationships/hyperlink" Target="https://www.google.com/maps?q=18.5079452,-69.7436414" TargetMode="External"/><Relationship Id="rId468" Type="http://schemas.openxmlformats.org/officeDocument/2006/relationships/hyperlink" Target="https://www.google.com/maps?q=18.5080251,-69.7436796" TargetMode="External"/><Relationship Id="rId469" Type="http://schemas.openxmlformats.org/officeDocument/2006/relationships/hyperlink" Target="https://www.google.com/maps?q=18.508093,-69.7435141" TargetMode="External"/><Relationship Id="rId470" Type="http://schemas.openxmlformats.org/officeDocument/2006/relationships/hyperlink" Target="https://www.google.com/maps?q=18.5080833,-69.7433597" TargetMode="External"/><Relationship Id="rId471" Type="http://schemas.openxmlformats.org/officeDocument/2006/relationships/hyperlink" Target="https://www.google.com/maps?q=18.5081771,-69.7428582" TargetMode="External"/><Relationship Id="rId472" Type="http://schemas.openxmlformats.org/officeDocument/2006/relationships/hyperlink" Target="https://www.google.com/maps?q=18.5086301,-69.7423729" TargetMode="External"/><Relationship Id="rId473" Type="http://schemas.openxmlformats.org/officeDocument/2006/relationships/hyperlink" Target="https://www.google.com/maps?q=18.5086874,-69.7424557" TargetMode="External"/><Relationship Id="rId47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13"/>
    <col collapsed="false" customWidth="true" hidden="false" outlineLevel="0" max="6" min="6" style="0" width="30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13"/>
    <col collapsed="false" customWidth="true" hidden="false" outlineLevel="0" max="14" min="12" style="0" width="12"/>
    <col collapsed="false" customWidth="true" hidden="false" outlineLevel="0" max="15" min="15" style="0" width="14"/>
    <col collapsed="false" customWidth="true" hidden="false" outlineLevel="0" max="16" min="16" style="0" width="48"/>
    <col collapsed="false" customWidth="true" hidden="false" outlineLevel="0" max="17" min="17" style="0" width="12"/>
  </cols>
  <sheetData>
    <row r="1" customFormat="false" ht="27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5" hidden="false" customHeight="false" outlineLevel="0" collapsed="false">
      <c r="A4" s="5" t="s">
        <v>2</v>
      </c>
    </row>
    <row r="5" customFormat="false" ht="33.75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</row>
    <row r="6" customFormat="false" ht="15" hidden="false" customHeight="false" outlineLevel="0" collapsed="false">
      <c r="A6" s="7" t="s">
        <v>20</v>
      </c>
      <c r="B6" s="7" t="s">
        <v>21</v>
      </c>
      <c r="C6" s="7" t="s">
        <v>6</v>
      </c>
      <c r="D6" s="8" t="s">
        <v>22</v>
      </c>
      <c r="E6" s="7"/>
      <c r="F6" s="8"/>
      <c r="G6" s="7" t="s">
        <v>23</v>
      </c>
      <c r="H6" s="9" t="n">
        <v>3.1</v>
      </c>
      <c r="I6" s="10" t="n">
        <v>34.533</v>
      </c>
      <c r="J6" s="11" t="n">
        <v>420573.963</v>
      </c>
      <c r="K6" s="11" t="n">
        <v>2043946.863</v>
      </c>
      <c r="L6" s="12" t="n">
        <v>18.4844226</v>
      </c>
      <c r="M6" s="12" t="n">
        <v>-69.7523383</v>
      </c>
      <c r="N6" s="7" t="n">
        <v>1</v>
      </c>
      <c r="O6" s="7" t="s">
        <v>24</v>
      </c>
      <c r="P6" s="8"/>
      <c r="Q6" s="13" t="s">
        <v>25</v>
      </c>
    </row>
    <row r="7" customFormat="false" ht="15" hidden="false" customHeight="false" outlineLevel="0" collapsed="false">
      <c r="A7" s="14" t="s">
        <v>26</v>
      </c>
      <c r="B7" s="14" t="s">
        <v>21</v>
      </c>
      <c r="C7" s="14" t="s">
        <v>6</v>
      </c>
      <c r="D7" s="15" t="s">
        <v>22</v>
      </c>
      <c r="E7" s="14"/>
      <c r="F7" s="15"/>
      <c r="G7" s="14" t="s">
        <v>23</v>
      </c>
      <c r="H7" s="16" t="n">
        <v>17.4</v>
      </c>
      <c r="I7" s="17" t="n">
        <v>34.534</v>
      </c>
      <c r="J7" s="18" t="n">
        <v>420574.902</v>
      </c>
      <c r="K7" s="18" t="n">
        <v>2043932.581</v>
      </c>
      <c r="L7" s="19" t="n">
        <v>18.4842936</v>
      </c>
      <c r="M7" s="19" t="n">
        <v>-69.7523288</v>
      </c>
      <c r="N7" s="14" t="n">
        <v>2</v>
      </c>
      <c r="O7" s="14" t="s">
        <v>24</v>
      </c>
      <c r="P7" s="15"/>
      <c r="Q7" s="20" t="s">
        <v>25</v>
      </c>
    </row>
    <row r="8" customFormat="false" ht="15" hidden="false" customHeight="false" outlineLevel="0" collapsed="false">
      <c r="A8" s="7" t="s">
        <v>27</v>
      </c>
      <c r="B8" s="7" t="s">
        <v>21</v>
      </c>
      <c r="C8" s="7" t="s">
        <v>6</v>
      </c>
      <c r="D8" s="8" t="s">
        <v>22</v>
      </c>
      <c r="E8" s="7"/>
      <c r="F8" s="8"/>
      <c r="G8" s="7" t="s">
        <v>23</v>
      </c>
      <c r="H8" s="9" t="n">
        <v>17.6</v>
      </c>
      <c r="I8" s="10" t="n">
        <v>34.311</v>
      </c>
      <c r="J8" s="11" t="n">
        <v>420718.845</v>
      </c>
      <c r="K8" s="11" t="n">
        <v>2043939.002</v>
      </c>
      <c r="L8" s="12" t="n">
        <v>18.484357</v>
      </c>
      <c r="M8" s="12" t="n">
        <v>-69.7509657</v>
      </c>
      <c r="N8" s="7" t="n">
        <v>3</v>
      </c>
      <c r="O8" s="7" t="s">
        <v>24</v>
      </c>
      <c r="P8" s="8"/>
      <c r="Q8" s="13" t="s">
        <v>25</v>
      </c>
    </row>
    <row r="9" customFormat="false" ht="15" hidden="false" customHeight="false" outlineLevel="0" collapsed="false">
      <c r="A9" s="14" t="s">
        <v>28</v>
      </c>
      <c r="B9" s="14" t="s">
        <v>21</v>
      </c>
      <c r="C9" s="14" t="s">
        <v>29</v>
      </c>
      <c r="D9" s="15"/>
      <c r="E9" s="14" t="s">
        <v>23</v>
      </c>
      <c r="F9" s="15" t="s">
        <v>30</v>
      </c>
      <c r="G9" s="14" t="s">
        <v>23</v>
      </c>
      <c r="H9" s="16" t="n">
        <v>0</v>
      </c>
      <c r="I9" s="17" t="n">
        <v>34.17</v>
      </c>
      <c r="J9" s="18" t="n">
        <v>420718.804</v>
      </c>
      <c r="K9" s="18" t="n">
        <v>2043957.607</v>
      </c>
      <c r="L9" s="19" t="n">
        <v>18.4845252</v>
      </c>
      <c r="M9" s="19" t="n">
        <v>-69.7509668</v>
      </c>
      <c r="N9" s="14" t="n">
        <v>4</v>
      </c>
      <c r="O9" s="14" t="s">
        <v>24</v>
      </c>
      <c r="P9" s="15"/>
      <c r="Q9" s="20" t="s">
        <v>25</v>
      </c>
    </row>
    <row r="10" customFormat="false" ht="15" hidden="false" customHeight="false" outlineLevel="0" collapsed="false">
      <c r="A10" s="7" t="s">
        <v>31</v>
      </c>
      <c r="B10" s="7" t="s">
        <v>21</v>
      </c>
      <c r="C10" s="7" t="s">
        <v>6</v>
      </c>
      <c r="D10" s="8" t="s">
        <v>22</v>
      </c>
      <c r="E10" s="7"/>
      <c r="F10" s="8"/>
      <c r="G10" s="7" t="s">
        <v>32</v>
      </c>
      <c r="H10" s="9" t="n">
        <v>16.9</v>
      </c>
      <c r="I10" s="10" t="n">
        <v>32.615</v>
      </c>
      <c r="J10" s="11" t="n">
        <v>421181.265</v>
      </c>
      <c r="K10" s="11" t="n">
        <v>2043961.54</v>
      </c>
      <c r="L10" s="12" t="n">
        <v>18.484578</v>
      </c>
      <c r="M10" s="12" t="n">
        <v>-69.7465867</v>
      </c>
      <c r="N10" s="7" t="n">
        <v>5</v>
      </c>
      <c r="O10" s="7" t="s">
        <v>24</v>
      </c>
      <c r="P10" s="8"/>
      <c r="Q10" s="13" t="s">
        <v>25</v>
      </c>
    </row>
    <row r="11" customFormat="false" ht="15" hidden="false" customHeight="false" outlineLevel="0" collapsed="false">
      <c r="A11" s="14" t="s">
        <v>33</v>
      </c>
      <c r="B11" s="14" t="s">
        <v>21</v>
      </c>
      <c r="C11" s="14" t="s">
        <v>6</v>
      </c>
      <c r="D11" s="15" t="s">
        <v>22</v>
      </c>
      <c r="E11" s="14"/>
      <c r="F11" s="15"/>
      <c r="G11" s="14" t="s">
        <v>32</v>
      </c>
      <c r="H11" s="16" t="n">
        <v>2.5</v>
      </c>
      <c r="I11" s="17" t="n">
        <v>32.608</v>
      </c>
      <c r="J11" s="18" t="n">
        <v>421180.624</v>
      </c>
      <c r="K11" s="18" t="n">
        <v>2043975.87</v>
      </c>
      <c r="L11" s="19" t="n">
        <v>18.4847075</v>
      </c>
      <c r="M11" s="19" t="n">
        <v>-69.7465934</v>
      </c>
      <c r="N11" s="14" t="n">
        <v>6</v>
      </c>
      <c r="O11" s="14" t="s">
        <v>24</v>
      </c>
      <c r="P11" s="15"/>
      <c r="Q11" s="20" t="s">
        <v>25</v>
      </c>
    </row>
    <row r="12" customFormat="false" ht="15" hidden="false" customHeight="false" outlineLevel="0" collapsed="false">
      <c r="A12" s="7" t="s">
        <v>34</v>
      </c>
      <c r="B12" s="7" t="s">
        <v>21</v>
      </c>
      <c r="C12" s="7" t="s">
        <v>6</v>
      </c>
      <c r="D12" s="8" t="s">
        <v>35</v>
      </c>
      <c r="E12" s="7"/>
      <c r="F12" s="8"/>
      <c r="G12" s="7" t="s">
        <v>36</v>
      </c>
      <c r="H12" s="9" t="n">
        <v>33</v>
      </c>
      <c r="I12" s="10" t="n">
        <v>32.485</v>
      </c>
      <c r="J12" s="11" t="n">
        <v>421582.742</v>
      </c>
      <c r="K12" s="11" t="n">
        <v>2044070.048</v>
      </c>
      <c r="L12" s="12" t="n">
        <v>18.4855736</v>
      </c>
      <c r="M12" s="12" t="n">
        <v>-69.7427883</v>
      </c>
      <c r="N12" s="7" t="n">
        <v>7</v>
      </c>
      <c r="O12" s="7" t="s">
        <v>24</v>
      </c>
      <c r="P12" s="8"/>
      <c r="Q12" s="13" t="s">
        <v>25</v>
      </c>
    </row>
    <row r="13" customFormat="false" ht="15" hidden="false" customHeight="false" outlineLevel="0" collapsed="false">
      <c r="A13" s="14" t="s">
        <v>37</v>
      </c>
      <c r="B13" s="14" t="s">
        <v>38</v>
      </c>
      <c r="C13" s="14" t="s">
        <v>6</v>
      </c>
      <c r="D13" s="15" t="s">
        <v>35</v>
      </c>
      <c r="E13" s="14"/>
      <c r="F13" s="15"/>
      <c r="G13" s="14" t="s">
        <v>39</v>
      </c>
      <c r="H13" s="16" t="n">
        <v>27.9</v>
      </c>
      <c r="I13" s="17" t="n">
        <v>32.89</v>
      </c>
      <c r="J13" s="18" t="n">
        <v>421583.507</v>
      </c>
      <c r="K13" s="18" t="n">
        <v>2044029.841</v>
      </c>
      <c r="L13" s="19" t="n">
        <v>18.4852103</v>
      </c>
      <c r="M13" s="19" t="n">
        <v>-69.7427795</v>
      </c>
      <c r="N13" s="14" t="n">
        <v>8</v>
      </c>
      <c r="O13" s="14" t="s">
        <v>40</v>
      </c>
      <c r="P13" s="15"/>
      <c r="Q13" s="20" t="s">
        <v>25</v>
      </c>
    </row>
    <row r="14" customFormat="false" ht="15" hidden="false" customHeight="false" outlineLevel="0" collapsed="false">
      <c r="A14" s="7" t="s">
        <v>41</v>
      </c>
      <c r="B14" s="7" t="s">
        <v>38</v>
      </c>
      <c r="C14" s="7" t="s">
        <v>6</v>
      </c>
      <c r="D14" s="8" t="s">
        <v>35</v>
      </c>
      <c r="E14" s="7"/>
      <c r="F14" s="8"/>
      <c r="G14" s="7" t="s">
        <v>36</v>
      </c>
      <c r="H14" s="9" t="n">
        <v>28</v>
      </c>
      <c r="I14" s="10" t="n">
        <v>32.835</v>
      </c>
      <c r="J14" s="11" t="n">
        <v>421581.743</v>
      </c>
      <c r="K14" s="11" t="n">
        <v>2044120.162</v>
      </c>
      <c r="L14" s="12" t="n">
        <v>18.4860265</v>
      </c>
      <c r="M14" s="12" t="n">
        <v>-69.7427997</v>
      </c>
      <c r="N14" s="7" t="n">
        <v>9</v>
      </c>
      <c r="O14" s="7" t="s">
        <v>40</v>
      </c>
      <c r="P14" s="8"/>
      <c r="Q14" s="13" t="s">
        <v>25</v>
      </c>
    </row>
    <row r="15" customFormat="false" ht="15" hidden="false" customHeight="false" outlineLevel="0" collapsed="false">
      <c r="A15" s="14" t="s">
        <v>42</v>
      </c>
      <c r="B15" s="14" t="s">
        <v>38</v>
      </c>
      <c r="C15" s="14" t="s">
        <v>6</v>
      </c>
      <c r="D15" s="15" t="s">
        <v>35</v>
      </c>
      <c r="E15" s="14"/>
      <c r="F15" s="15"/>
      <c r="G15" s="14" t="s">
        <v>43</v>
      </c>
      <c r="H15" s="16" t="n">
        <v>28</v>
      </c>
      <c r="I15" s="17" t="n">
        <v>33.768</v>
      </c>
      <c r="J15" s="18" t="n">
        <v>421578.862</v>
      </c>
      <c r="K15" s="18" t="n">
        <v>2044260.235</v>
      </c>
      <c r="L15" s="19" t="n">
        <v>18.4872923</v>
      </c>
      <c r="M15" s="19" t="n">
        <v>-69.7428325</v>
      </c>
      <c r="N15" s="14" t="n">
        <v>10</v>
      </c>
      <c r="O15" s="14" t="s">
        <v>40</v>
      </c>
      <c r="P15" s="15"/>
      <c r="Q15" s="20" t="s">
        <v>25</v>
      </c>
    </row>
    <row r="16" customFormat="false" ht="15" hidden="false" customHeight="false" outlineLevel="0" collapsed="false">
      <c r="A16" s="7" t="s">
        <v>44</v>
      </c>
      <c r="B16" s="7" t="s">
        <v>38</v>
      </c>
      <c r="C16" s="7" t="s">
        <v>6</v>
      </c>
      <c r="D16" s="8" t="s">
        <v>35</v>
      </c>
      <c r="E16" s="7"/>
      <c r="F16" s="8"/>
      <c r="G16" s="7" t="s">
        <v>45</v>
      </c>
      <c r="H16" s="9" t="n">
        <v>28</v>
      </c>
      <c r="I16" s="10" t="n">
        <v>34.087</v>
      </c>
      <c r="J16" s="11" t="n">
        <v>421572.641</v>
      </c>
      <c r="K16" s="11" t="n">
        <v>2044560.277</v>
      </c>
      <c r="L16" s="12" t="n">
        <v>18.4900036</v>
      </c>
      <c r="M16" s="12" t="n">
        <v>-69.7429031</v>
      </c>
      <c r="N16" s="7" t="n">
        <v>11</v>
      </c>
      <c r="O16" s="7" t="s">
        <v>40</v>
      </c>
      <c r="P16" s="8"/>
      <c r="Q16" s="13" t="s">
        <v>25</v>
      </c>
    </row>
    <row r="17" customFormat="false" ht="15" hidden="false" customHeight="false" outlineLevel="0" collapsed="false">
      <c r="A17" s="14" t="s">
        <v>46</v>
      </c>
      <c r="B17" s="14" t="s">
        <v>21</v>
      </c>
      <c r="C17" s="14" t="s">
        <v>6</v>
      </c>
      <c r="D17" s="15" t="s">
        <v>35</v>
      </c>
      <c r="E17" s="14"/>
      <c r="F17" s="15"/>
      <c r="G17" s="14" t="s">
        <v>45</v>
      </c>
      <c r="H17" s="16" t="n">
        <v>28</v>
      </c>
      <c r="I17" s="17" t="n">
        <v>33.651</v>
      </c>
      <c r="J17" s="18" t="n">
        <v>421570.818</v>
      </c>
      <c r="K17" s="18" t="n">
        <v>2044647.133</v>
      </c>
      <c r="L17" s="19" t="n">
        <v>18.4907885</v>
      </c>
      <c r="M17" s="19" t="n">
        <v>-69.7429237</v>
      </c>
      <c r="N17" s="14" t="n">
        <v>12</v>
      </c>
      <c r="O17" s="14" t="s">
        <v>24</v>
      </c>
      <c r="P17" s="15"/>
      <c r="Q17" s="20" t="s">
        <v>25</v>
      </c>
    </row>
    <row r="18" customFormat="false" ht="15" hidden="false" customHeight="false" outlineLevel="0" collapsed="false">
      <c r="A18" s="7" t="s">
        <v>47</v>
      </c>
      <c r="B18" s="7" t="s">
        <v>38</v>
      </c>
      <c r="C18" s="7" t="s">
        <v>6</v>
      </c>
      <c r="D18" s="8" t="s">
        <v>35</v>
      </c>
      <c r="E18" s="7"/>
      <c r="F18" s="8"/>
      <c r="G18" s="7" t="s">
        <v>45</v>
      </c>
      <c r="H18" s="9" t="n">
        <v>20.7</v>
      </c>
      <c r="I18" s="10" t="n">
        <v>33.837</v>
      </c>
      <c r="J18" s="11" t="n">
        <v>421563.581</v>
      </c>
      <c r="K18" s="11" t="n">
        <v>2044646.044</v>
      </c>
      <c r="L18" s="12" t="n">
        <v>18.4907784</v>
      </c>
      <c r="M18" s="12" t="n">
        <v>-69.7429922</v>
      </c>
      <c r="N18" s="7" t="n">
        <v>13</v>
      </c>
      <c r="O18" s="7" t="s">
        <v>40</v>
      </c>
      <c r="P18" s="8"/>
      <c r="Q18" s="13" t="s">
        <v>25</v>
      </c>
    </row>
    <row r="19" customFormat="false" ht="15" hidden="false" customHeight="false" outlineLevel="0" collapsed="false">
      <c r="A19" s="14" t="s">
        <v>48</v>
      </c>
      <c r="B19" s="14" t="s">
        <v>21</v>
      </c>
      <c r="C19" s="14" t="s">
        <v>6</v>
      </c>
      <c r="D19" s="15" t="s">
        <v>35</v>
      </c>
      <c r="E19" s="14"/>
      <c r="F19" s="15"/>
      <c r="G19" s="14" t="s">
        <v>49</v>
      </c>
      <c r="H19" s="16" t="n">
        <v>4.3</v>
      </c>
      <c r="I19" s="17" t="n">
        <v>32.529</v>
      </c>
      <c r="J19" s="18" t="n">
        <v>421561.617</v>
      </c>
      <c r="K19" s="18" t="n">
        <v>2045094.467</v>
      </c>
      <c r="L19" s="19" t="n">
        <v>18.4948309</v>
      </c>
      <c r="M19" s="19" t="n">
        <v>-69.7430283</v>
      </c>
      <c r="N19" s="14" t="n">
        <v>14</v>
      </c>
      <c r="O19" s="14" t="s">
        <v>24</v>
      </c>
      <c r="P19" s="15"/>
      <c r="Q19" s="20" t="s">
        <v>25</v>
      </c>
    </row>
    <row r="20" customFormat="false" ht="15" hidden="false" customHeight="false" outlineLevel="0" collapsed="false">
      <c r="A20" s="7" t="s">
        <v>50</v>
      </c>
      <c r="B20" s="7" t="s">
        <v>38</v>
      </c>
      <c r="C20" s="7" t="s">
        <v>6</v>
      </c>
      <c r="D20" s="8" t="s">
        <v>35</v>
      </c>
      <c r="E20" s="7"/>
      <c r="F20" s="8"/>
      <c r="G20" s="7" t="s">
        <v>51</v>
      </c>
      <c r="H20" s="9" t="n">
        <v>4.3</v>
      </c>
      <c r="I20" s="10" t="n">
        <v>31.59</v>
      </c>
      <c r="J20" s="11" t="n">
        <v>421589.018</v>
      </c>
      <c r="K20" s="11" t="n">
        <v>2045401.103</v>
      </c>
      <c r="L20" s="12" t="n">
        <v>18.4976031</v>
      </c>
      <c r="M20" s="12" t="n">
        <v>-69.7427807</v>
      </c>
      <c r="N20" s="7" t="n">
        <v>15</v>
      </c>
      <c r="O20" s="7" t="s">
        <v>40</v>
      </c>
      <c r="P20" s="8"/>
      <c r="Q20" s="13" t="s">
        <v>25</v>
      </c>
    </row>
    <row r="21" customFormat="false" ht="15" hidden="false" customHeight="false" outlineLevel="0" collapsed="false">
      <c r="A21" s="14" t="s">
        <v>52</v>
      </c>
      <c r="B21" s="14" t="s">
        <v>38</v>
      </c>
      <c r="C21" s="14" t="s">
        <v>6</v>
      </c>
      <c r="D21" s="15" t="s">
        <v>35</v>
      </c>
      <c r="E21" s="14"/>
      <c r="F21" s="15"/>
      <c r="G21" s="14" t="s">
        <v>51</v>
      </c>
      <c r="H21" s="16" t="n">
        <v>4.4</v>
      </c>
      <c r="I21" s="17" t="n">
        <v>30.736</v>
      </c>
      <c r="J21" s="18" t="n">
        <v>421639.302</v>
      </c>
      <c r="K21" s="18" t="n">
        <v>2045502.438</v>
      </c>
      <c r="L21" s="19" t="n">
        <v>18.4985208</v>
      </c>
      <c r="M21" s="19" t="n">
        <v>-69.7423084</v>
      </c>
      <c r="N21" s="14" t="n">
        <v>16</v>
      </c>
      <c r="O21" s="14" t="s">
        <v>40</v>
      </c>
      <c r="P21" s="15"/>
      <c r="Q21" s="20" t="s">
        <v>25</v>
      </c>
    </row>
    <row r="22" customFormat="false" ht="15" hidden="false" customHeight="false" outlineLevel="0" collapsed="false">
      <c r="A22" s="7" t="s">
        <v>53</v>
      </c>
      <c r="B22" s="7" t="s">
        <v>38</v>
      </c>
      <c r="C22" s="7" t="s">
        <v>6</v>
      </c>
      <c r="D22" s="8" t="s">
        <v>35</v>
      </c>
      <c r="E22" s="7"/>
      <c r="F22" s="8"/>
      <c r="G22" s="7" t="s">
        <v>54</v>
      </c>
      <c r="H22" s="9" t="n">
        <v>4.5</v>
      </c>
      <c r="I22" s="10" t="n">
        <v>29.956</v>
      </c>
      <c r="J22" s="11" t="n">
        <v>421699.155</v>
      </c>
      <c r="K22" s="11" t="n">
        <v>2045622.641</v>
      </c>
      <c r="L22" s="12" t="n">
        <v>18.4996094</v>
      </c>
      <c r="M22" s="12" t="n">
        <v>-69.7417461</v>
      </c>
      <c r="N22" s="7" t="n">
        <v>17</v>
      </c>
      <c r="O22" s="7" t="s">
        <v>40</v>
      </c>
      <c r="P22" s="8"/>
      <c r="Q22" s="13" t="s">
        <v>25</v>
      </c>
    </row>
    <row r="23" customFormat="false" ht="15" hidden="false" customHeight="false" outlineLevel="0" collapsed="false">
      <c r="A23" s="14" t="s">
        <v>55</v>
      </c>
      <c r="B23" s="14" t="s">
        <v>38</v>
      </c>
      <c r="C23" s="14" t="s">
        <v>6</v>
      </c>
      <c r="D23" s="15" t="s">
        <v>35</v>
      </c>
      <c r="E23" s="14"/>
      <c r="F23" s="15"/>
      <c r="G23" s="14" t="s">
        <v>54</v>
      </c>
      <c r="H23" s="16" t="n">
        <v>4.4</v>
      </c>
      <c r="I23" s="17" t="n">
        <v>29.43</v>
      </c>
      <c r="J23" s="18" t="n">
        <v>421743.254</v>
      </c>
      <c r="K23" s="18" t="n">
        <v>2045711.08</v>
      </c>
      <c r="L23" s="19" t="n">
        <v>18.5004103</v>
      </c>
      <c r="M23" s="19" t="n">
        <v>-69.7413318</v>
      </c>
      <c r="N23" s="14" t="n">
        <v>18</v>
      </c>
      <c r="O23" s="14" t="s">
        <v>40</v>
      </c>
      <c r="P23" s="15"/>
      <c r="Q23" s="20" t="s">
        <v>25</v>
      </c>
    </row>
    <row r="24" customFormat="false" ht="15" hidden="false" customHeight="false" outlineLevel="0" collapsed="false">
      <c r="A24" s="7" t="s">
        <v>56</v>
      </c>
      <c r="B24" s="7" t="s">
        <v>38</v>
      </c>
      <c r="C24" s="7" t="s">
        <v>6</v>
      </c>
      <c r="D24" s="8" t="s">
        <v>35</v>
      </c>
      <c r="E24" s="7"/>
      <c r="F24" s="8"/>
      <c r="G24" s="7" t="s">
        <v>54</v>
      </c>
      <c r="H24" s="9" t="n">
        <v>4.4</v>
      </c>
      <c r="I24" s="10" t="n">
        <v>28.915</v>
      </c>
      <c r="J24" s="11" t="n">
        <v>421787.305</v>
      </c>
      <c r="K24" s="11" t="n">
        <v>2045799.349</v>
      </c>
      <c r="L24" s="12" t="n">
        <v>18.5012096</v>
      </c>
      <c r="M24" s="12" t="n">
        <v>-69.740918</v>
      </c>
      <c r="N24" s="7" t="n">
        <v>19</v>
      </c>
      <c r="O24" s="7" t="s">
        <v>40</v>
      </c>
      <c r="P24" s="8"/>
      <c r="Q24" s="13" t="s">
        <v>25</v>
      </c>
    </row>
    <row r="25" customFormat="false" ht="15" hidden="false" customHeight="false" outlineLevel="0" collapsed="false">
      <c r="A25" s="14" t="s">
        <v>57</v>
      </c>
      <c r="B25" s="14" t="s">
        <v>38</v>
      </c>
      <c r="C25" s="14" t="s">
        <v>6</v>
      </c>
      <c r="D25" s="15" t="s">
        <v>35</v>
      </c>
      <c r="E25" s="14"/>
      <c r="F25" s="15"/>
      <c r="G25" s="14" t="s">
        <v>58</v>
      </c>
      <c r="H25" s="16" t="n">
        <v>4.4</v>
      </c>
      <c r="I25" s="17" t="n">
        <v>28.37</v>
      </c>
      <c r="J25" s="18" t="n">
        <v>421833.754</v>
      </c>
      <c r="K25" s="18" t="n">
        <v>2045892.673</v>
      </c>
      <c r="L25" s="19" t="n">
        <v>18.5020547</v>
      </c>
      <c r="M25" s="19" t="n">
        <v>-69.7404816</v>
      </c>
      <c r="N25" s="14" t="n">
        <v>20</v>
      </c>
      <c r="O25" s="14" t="s">
        <v>40</v>
      </c>
      <c r="P25" s="15"/>
      <c r="Q25" s="20" t="s">
        <v>25</v>
      </c>
    </row>
    <row r="26" customFormat="false" ht="15" hidden="false" customHeight="false" outlineLevel="0" collapsed="false">
      <c r="A26" s="7" t="s">
        <v>59</v>
      </c>
      <c r="B26" s="7" t="s">
        <v>38</v>
      </c>
      <c r="C26" s="7" t="s">
        <v>6</v>
      </c>
      <c r="D26" s="8" t="s">
        <v>35</v>
      </c>
      <c r="E26" s="7"/>
      <c r="F26" s="8"/>
      <c r="G26" s="7" t="s">
        <v>58</v>
      </c>
      <c r="H26" s="9" t="n">
        <v>4.5</v>
      </c>
      <c r="I26" s="10" t="n">
        <v>27.919</v>
      </c>
      <c r="J26" s="11" t="n">
        <v>421868.04</v>
      </c>
      <c r="K26" s="11" t="n">
        <v>2045961.546</v>
      </c>
      <c r="L26" s="12" t="n">
        <v>18.5026784</v>
      </c>
      <c r="M26" s="12" t="n">
        <v>-69.7401595</v>
      </c>
      <c r="N26" s="7" t="n">
        <v>21</v>
      </c>
      <c r="O26" s="7" t="s">
        <v>40</v>
      </c>
      <c r="P26" s="8"/>
      <c r="Q26" s="13" t="s">
        <v>25</v>
      </c>
    </row>
    <row r="27" customFormat="false" ht="15" hidden="false" customHeight="false" outlineLevel="0" collapsed="false">
      <c r="A27" s="14" t="s">
        <v>60</v>
      </c>
      <c r="B27" s="14" t="s">
        <v>38</v>
      </c>
      <c r="C27" s="14" t="s">
        <v>6</v>
      </c>
      <c r="D27" s="15" t="s">
        <v>35</v>
      </c>
      <c r="E27" s="14"/>
      <c r="F27" s="15"/>
      <c r="G27" s="14" t="s">
        <v>61</v>
      </c>
      <c r="H27" s="16" t="n">
        <v>4.3</v>
      </c>
      <c r="I27" s="17" t="n">
        <v>27.57</v>
      </c>
      <c r="J27" s="18" t="n">
        <v>421901.645</v>
      </c>
      <c r="K27" s="18" t="n">
        <v>2046028.674</v>
      </c>
      <c r="L27" s="19" t="n">
        <v>18.5032864</v>
      </c>
      <c r="M27" s="19" t="n">
        <v>-69.7398438</v>
      </c>
      <c r="N27" s="14" t="n">
        <v>22</v>
      </c>
      <c r="O27" s="14" t="s">
        <v>40</v>
      </c>
      <c r="P27" s="15"/>
      <c r="Q27" s="20" t="s">
        <v>25</v>
      </c>
    </row>
    <row r="28" customFormat="false" ht="15" hidden="false" customHeight="false" outlineLevel="0" collapsed="false">
      <c r="A28" s="7" t="s">
        <v>62</v>
      </c>
      <c r="B28" s="7" t="s">
        <v>38</v>
      </c>
      <c r="C28" s="7" t="s">
        <v>6</v>
      </c>
      <c r="D28" s="8" t="s">
        <v>35</v>
      </c>
      <c r="E28" s="7"/>
      <c r="F28" s="8"/>
      <c r="G28" s="7" t="s">
        <v>63</v>
      </c>
      <c r="H28" s="9" t="n">
        <v>6.4</v>
      </c>
      <c r="I28" s="10" t="n">
        <v>28.816</v>
      </c>
      <c r="J28" s="11" t="n">
        <v>421941.911</v>
      </c>
      <c r="K28" s="11" t="n">
        <v>2046256.684</v>
      </c>
      <c r="L28" s="12" t="n">
        <v>18.5053485</v>
      </c>
      <c r="M28" s="12" t="n">
        <v>-69.7394712</v>
      </c>
      <c r="N28" s="7" t="n">
        <v>23</v>
      </c>
      <c r="O28" s="7" t="s">
        <v>40</v>
      </c>
      <c r="P28" s="8"/>
      <c r="Q28" s="13" t="s">
        <v>25</v>
      </c>
    </row>
    <row r="29" customFormat="false" ht="15" hidden="false" customHeight="false" outlineLevel="0" collapsed="false">
      <c r="A29" s="14" t="s">
        <v>64</v>
      </c>
      <c r="B29" s="14" t="s">
        <v>38</v>
      </c>
      <c r="C29" s="14" t="s">
        <v>6</v>
      </c>
      <c r="D29" s="15" t="s">
        <v>35</v>
      </c>
      <c r="E29" s="14"/>
      <c r="F29" s="15"/>
      <c r="G29" s="14" t="s">
        <v>65</v>
      </c>
      <c r="H29" s="16" t="n">
        <v>6.2</v>
      </c>
      <c r="I29" s="17" t="n">
        <v>27.126</v>
      </c>
      <c r="J29" s="18" t="n">
        <v>421924.337</v>
      </c>
      <c r="K29" s="18" t="n">
        <v>2046318.706</v>
      </c>
      <c r="L29" s="19" t="n">
        <v>18.5059083</v>
      </c>
      <c r="M29" s="19" t="n">
        <v>-69.7396401</v>
      </c>
      <c r="N29" s="14" t="n">
        <v>24</v>
      </c>
      <c r="O29" s="14" t="s">
        <v>40</v>
      </c>
      <c r="P29" s="15"/>
      <c r="Q29" s="20" t="s">
        <v>25</v>
      </c>
    </row>
    <row r="30" customFormat="false" ht="15" hidden="false" customHeight="false" outlineLevel="0" collapsed="false">
      <c r="A30" s="7" t="s">
        <v>66</v>
      </c>
      <c r="B30" s="7" t="s">
        <v>38</v>
      </c>
      <c r="C30" s="7" t="s">
        <v>6</v>
      </c>
      <c r="D30" s="8" t="s">
        <v>35</v>
      </c>
      <c r="E30" s="7"/>
      <c r="F30" s="8"/>
      <c r="G30" s="7" t="s">
        <v>65</v>
      </c>
      <c r="H30" s="9" t="n">
        <v>6.2</v>
      </c>
      <c r="I30" s="10" t="n">
        <v>25.759</v>
      </c>
      <c r="J30" s="11" t="n">
        <v>421867.985</v>
      </c>
      <c r="K30" s="11" t="n">
        <v>2046426.369</v>
      </c>
      <c r="L30" s="12" t="n">
        <v>18.5068792</v>
      </c>
      <c r="M30" s="12" t="n">
        <v>-69.7401781</v>
      </c>
      <c r="N30" s="7" t="n">
        <v>25</v>
      </c>
      <c r="O30" s="7" t="s">
        <v>40</v>
      </c>
      <c r="P30" s="8"/>
      <c r="Q30" s="13" t="s">
        <v>25</v>
      </c>
    </row>
    <row r="31" customFormat="false" ht="15" hidden="false" customHeight="false" outlineLevel="0" collapsed="false">
      <c r="A31" s="14" t="s">
        <v>67</v>
      </c>
      <c r="B31" s="14" t="s">
        <v>21</v>
      </c>
      <c r="C31" s="14" t="s">
        <v>6</v>
      </c>
      <c r="D31" s="15" t="s">
        <v>35</v>
      </c>
      <c r="E31" s="14"/>
      <c r="F31" s="15"/>
      <c r="G31" s="14" t="s">
        <v>68</v>
      </c>
      <c r="H31" s="16" t="n">
        <v>6</v>
      </c>
      <c r="I31" s="17" t="n">
        <v>24.402</v>
      </c>
      <c r="J31" s="18" t="n">
        <v>421793.946</v>
      </c>
      <c r="K31" s="18" t="n">
        <v>2046561.788</v>
      </c>
      <c r="L31" s="19" t="n">
        <v>18.5081003</v>
      </c>
      <c r="M31" s="19" t="n">
        <v>-69.7408847</v>
      </c>
      <c r="N31" s="14" t="n">
        <v>26</v>
      </c>
      <c r="O31" s="14" t="s">
        <v>24</v>
      </c>
      <c r="P31" s="15"/>
      <c r="Q31" s="20" t="s">
        <v>25</v>
      </c>
    </row>
    <row r="32" customFormat="false" ht="15" hidden="false" customHeight="false" outlineLevel="0" collapsed="false">
      <c r="A32" s="7" t="s">
        <v>69</v>
      </c>
      <c r="B32" s="7" t="s">
        <v>38</v>
      </c>
      <c r="C32" s="7" t="s">
        <v>6</v>
      </c>
      <c r="D32" s="8" t="s">
        <v>35</v>
      </c>
      <c r="E32" s="7"/>
      <c r="F32" s="8"/>
      <c r="G32" s="7" t="s">
        <v>70</v>
      </c>
      <c r="H32" s="9" t="n">
        <v>6</v>
      </c>
      <c r="I32" s="10" t="n">
        <v>24.932</v>
      </c>
      <c r="J32" s="11" t="n">
        <v>421731.006</v>
      </c>
      <c r="K32" s="11" t="n">
        <v>2046676.57</v>
      </c>
      <c r="L32" s="12" t="n">
        <v>18.5091353</v>
      </c>
      <c r="M32" s="12" t="n">
        <v>-69.7414854</v>
      </c>
      <c r="N32" s="7" t="n">
        <v>27</v>
      </c>
      <c r="O32" s="7" t="s">
        <v>40</v>
      </c>
      <c r="P32" s="8"/>
      <c r="Q32" s="13" t="s">
        <v>25</v>
      </c>
    </row>
    <row r="33" customFormat="false" ht="15" hidden="false" customHeight="false" outlineLevel="0" collapsed="false">
      <c r="A33" s="14" t="s">
        <v>71</v>
      </c>
      <c r="B33" s="14" t="s">
        <v>21</v>
      </c>
      <c r="C33" s="14" t="s">
        <v>6</v>
      </c>
      <c r="D33" s="15" t="s">
        <v>35</v>
      </c>
      <c r="E33" s="14"/>
      <c r="F33" s="15"/>
      <c r="G33" s="14" t="s">
        <v>72</v>
      </c>
      <c r="H33" s="16" t="n">
        <v>6.1</v>
      </c>
      <c r="I33" s="17" t="n">
        <v>23.654</v>
      </c>
      <c r="J33" s="18" t="n">
        <v>421606.954</v>
      </c>
      <c r="K33" s="18" t="n">
        <v>2046902.39</v>
      </c>
      <c r="L33" s="19" t="n">
        <v>18.5111715</v>
      </c>
      <c r="M33" s="19" t="n">
        <v>-69.7426693</v>
      </c>
      <c r="N33" s="14" t="n">
        <v>28</v>
      </c>
      <c r="O33" s="14" t="s">
        <v>24</v>
      </c>
      <c r="P33" s="15"/>
      <c r="Q33" s="20" t="s">
        <v>25</v>
      </c>
    </row>
    <row r="34" customFormat="false" ht="15" hidden="false" customHeight="false" outlineLevel="0" collapsed="false">
      <c r="A34" s="7" t="s">
        <v>73</v>
      </c>
      <c r="B34" s="7" t="s">
        <v>38</v>
      </c>
      <c r="C34" s="7" t="s">
        <v>6</v>
      </c>
      <c r="D34" s="8" t="s">
        <v>35</v>
      </c>
      <c r="E34" s="7"/>
      <c r="F34" s="8"/>
      <c r="G34" s="7" t="s">
        <v>74</v>
      </c>
      <c r="H34" s="9" t="n">
        <v>2.7</v>
      </c>
      <c r="I34" s="10" t="n">
        <v>24.671</v>
      </c>
      <c r="J34" s="11" t="n">
        <v>421515.068</v>
      </c>
      <c r="K34" s="11" t="n">
        <v>2047077.172</v>
      </c>
      <c r="L34" s="12" t="n">
        <v>18.5127477</v>
      </c>
      <c r="M34" s="12" t="n">
        <v>-69.7435466</v>
      </c>
      <c r="N34" s="7" t="n">
        <v>29</v>
      </c>
      <c r="O34" s="7" t="s">
        <v>40</v>
      </c>
      <c r="P34" s="8"/>
      <c r="Q34" s="13" t="s">
        <v>25</v>
      </c>
    </row>
    <row r="35" customFormat="false" ht="15" hidden="false" customHeight="false" outlineLevel="0" collapsed="false">
      <c r="A35" s="14" t="s">
        <v>75</v>
      </c>
      <c r="B35" s="14" t="s">
        <v>38</v>
      </c>
      <c r="C35" s="14" t="s">
        <v>6</v>
      </c>
      <c r="D35" s="15" t="s">
        <v>35</v>
      </c>
      <c r="E35" s="14"/>
      <c r="F35" s="15"/>
      <c r="G35" s="14" t="s">
        <v>74</v>
      </c>
      <c r="H35" s="16" t="n">
        <v>3.6</v>
      </c>
      <c r="I35" s="17" t="n">
        <v>24.085</v>
      </c>
      <c r="J35" s="18" t="n">
        <v>421515.96</v>
      </c>
      <c r="K35" s="18" t="n">
        <v>2047073.496</v>
      </c>
      <c r="L35" s="19" t="n">
        <v>18.5127145</v>
      </c>
      <c r="M35" s="19" t="n">
        <v>-69.743538</v>
      </c>
      <c r="N35" s="14" t="n">
        <v>30</v>
      </c>
      <c r="O35" s="14" t="s">
        <v>40</v>
      </c>
      <c r="P35" s="15"/>
      <c r="Q35" s="20" t="s">
        <v>25</v>
      </c>
    </row>
    <row r="36" customFormat="false" ht="25.35" hidden="false" customHeight="false" outlineLevel="0" collapsed="false">
      <c r="A36" s="7" t="s">
        <v>76</v>
      </c>
      <c r="B36" s="7" t="s">
        <v>38</v>
      </c>
      <c r="C36" s="7" t="s">
        <v>6</v>
      </c>
      <c r="D36" s="8" t="s">
        <v>35</v>
      </c>
      <c r="E36" s="7"/>
      <c r="F36" s="8"/>
      <c r="G36" s="7" t="s">
        <v>74</v>
      </c>
      <c r="H36" s="9" t="n">
        <v>3.5</v>
      </c>
      <c r="I36" s="10" t="n">
        <v>23.508</v>
      </c>
      <c r="J36" s="11" t="n">
        <v>421483.389</v>
      </c>
      <c r="K36" s="11" t="n">
        <v>2047133.269</v>
      </c>
      <c r="L36" s="12" t="n">
        <v>18.5132535</v>
      </c>
      <c r="M36" s="12" t="n">
        <v>-69.7438489</v>
      </c>
      <c r="N36" s="7" t="n">
        <v>31</v>
      </c>
      <c r="O36" s="7" t="s">
        <v>40</v>
      </c>
      <c r="P36" s="8" t="s">
        <v>77</v>
      </c>
      <c r="Q36" s="13" t="s">
        <v>25</v>
      </c>
    </row>
    <row r="37" customFormat="false" ht="25.35" hidden="false" customHeight="false" outlineLevel="0" collapsed="false">
      <c r="A37" s="14" t="s">
        <v>78</v>
      </c>
      <c r="B37" s="14" t="s">
        <v>38</v>
      </c>
      <c r="C37" s="14" t="s">
        <v>6</v>
      </c>
      <c r="D37" s="15" t="s">
        <v>35</v>
      </c>
      <c r="E37" s="14"/>
      <c r="F37" s="15"/>
      <c r="G37" s="14" t="s">
        <v>74</v>
      </c>
      <c r="H37" s="16" t="n">
        <v>3.5</v>
      </c>
      <c r="I37" s="17" t="n">
        <v>23.512</v>
      </c>
      <c r="J37" s="18" t="n">
        <v>421483.389</v>
      </c>
      <c r="K37" s="18" t="n">
        <v>2047133.27</v>
      </c>
      <c r="L37" s="19" t="n">
        <v>18.5132535</v>
      </c>
      <c r="M37" s="19" t="n">
        <v>-69.7438489</v>
      </c>
      <c r="N37" s="14" t="n">
        <v>32</v>
      </c>
      <c r="O37" s="14" t="s">
        <v>40</v>
      </c>
      <c r="P37" s="15" t="s">
        <v>79</v>
      </c>
      <c r="Q37" s="20" t="s">
        <v>25</v>
      </c>
    </row>
    <row r="38" customFormat="false" ht="15" hidden="false" customHeight="false" outlineLevel="0" collapsed="false">
      <c r="A38" s="7" t="s">
        <v>80</v>
      </c>
      <c r="B38" s="7" t="s">
        <v>38</v>
      </c>
      <c r="C38" s="7" t="s">
        <v>6</v>
      </c>
      <c r="D38" s="8" t="s">
        <v>35</v>
      </c>
      <c r="E38" s="7"/>
      <c r="F38" s="8"/>
      <c r="G38" s="7" t="s">
        <v>81</v>
      </c>
      <c r="H38" s="9" t="n">
        <v>4</v>
      </c>
      <c r="I38" s="10" t="n">
        <v>22.835</v>
      </c>
      <c r="J38" s="11" t="n">
        <v>421461.073</v>
      </c>
      <c r="K38" s="11" t="n">
        <v>2047200.166</v>
      </c>
      <c r="L38" s="12" t="n">
        <v>18.5138572</v>
      </c>
      <c r="M38" s="12" t="n">
        <v>-69.7440629</v>
      </c>
      <c r="N38" s="7" t="n">
        <v>33</v>
      </c>
      <c r="O38" s="7" t="s">
        <v>40</v>
      </c>
      <c r="P38" s="8"/>
      <c r="Q38" s="13" t="s">
        <v>25</v>
      </c>
    </row>
    <row r="39" customFormat="false" ht="15" hidden="false" customHeight="false" outlineLevel="0" collapsed="false">
      <c r="A39" s="14" t="s">
        <v>82</v>
      </c>
      <c r="B39" s="14" t="s">
        <v>38</v>
      </c>
      <c r="C39" s="14" t="s">
        <v>6</v>
      </c>
      <c r="D39" s="15" t="s">
        <v>35</v>
      </c>
      <c r="E39" s="14"/>
      <c r="F39" s="15"/>
      <c r="G39" s="14" t="s">
        <v>83</v>
      </c>
      <c r="H39" s="16" t="n">
        <v>2.6</v>
      </c>
      <c r="I39" s="17" t="n">
        <v>23.679</v>
      </c>
      <c r="J39" s="18" t="n">
        <v>421454.134</v>
      </c>
      <c r="K39" s="18" t="n">
        <v>2047118.205</v>
      </c>
      <c r="L39" s="19" t="n">
        <v>18.5131163</v>
      </c>
      <c r="M39" s="19" t="n">
        <v>-69.7441254</v>
      </c>
      <c r="N39" s="14" t="n">
        <v>34</v>
      </c>
      <c r="O39" s="14" t="s">
        <v>40</v>
      </c>
      <c r="P39" s="15"/>
      <c r="Q39" s="20" t="s">
        <v>25</v>
      </c>
    </row>
    <row r="40" customFormat="false" ht="15" hidden="false" customHeight="false" outlineLevel="0" collapsed="false">
      <c r="A40" s="7" t="s">
        <v>84</v>
      </c>
      <c r="B40" s="7" t="s">
        <v>38</v>
      </c>
      <c r="C40" s="7" t="s">
        <v>6</v>
      </c>
      <c r="D40" s="8" t="s">
        <v>35</v>
      </c>
      <c r="E40" s="7"/>
      <c r="F40" s="8"/>
      <c r="G40" s="7" t="s">
        <v>85</v>
      </c>
      <c r="H40" s="9" t="n">
        <v>2.7</v>
      </c>
      <c r="I40" s="10" t="n">
        <v>23.908</v>
      </c>
      <c r="J40" s="11" t="n">
        <v>421490.162</v>
      </c>
      <c r="K40" s="11" t="n">
        <v>2047052.459</v>
      </c>
      <c r="L40" s="12" t="n">
        <v>18.5125234</v>
      </c>
      <c r="M40" s="12" t="n">
        <v>-69.7437816</v>
      </c>
      <c r="N40" s="7" t="n">
        <v>35</v>
      </c>
      <c r="O40" s="7" t="s">
        <v>40</v>
      </c>
      <c r="P40" s="8"/>
      <c r="Q40" s="13" t="s">
        <v>25</v>
      </c>
    </row>
    <row r="41" customFormat="false" ht="15" hidden="false" customHeight="false" outlineLevel="0" collapsed="false">
      <c r="A41" s="14" t="s">
        <v>86</v>
      </c>
      <c r="B41" s="14" t="s">
        <v>21</v>
      </c>
      <c r="C41" s="14" t="s">
        <v>6</v>
      </c>
      <c r="D41" s="15" t="s">
        <v>35</v>
      </c>
      <c r="E41" s="14"/>
      <c r="F41" s="15"/>
      <c r="G41" s="14" t="s">
        <v>85</v>
      </c>
      <c r="H41" s="16" t="n">
        <v>2.8</v>
      </c>
      <c r="I41" s="17" t="n">
        <v>23.82</v>
      </c>
      <c r="J41" s="18" t="n">
        <v>421578.702</v>
      </c>
      <c r="K41" s="18" t="n">
        <v>2046891.329</v>
      </c>
      <c r="L41" s="19" t="n">
        <v>18.5110705</v>
      </c>
      <c r="M41" s="19" t="n">
        <v>-69.7429365</v>
      </c>
      <c r="N41" s="14" t="n">
        <v>36</v>
      </c>
      <c r="O41" s="14" t="s">
        <v>24</v>
      </c>
      <c r="P41" s="15"/>
      <c r="Q41" s="20" t="s">
        <v>25</v>
      </c>
    </row>
    <row r="42" customFormat="false" ht="15" hidden="false" customHeight="false" outlineLevel="0" collapsed="false">
      <c r="A42" s="7" t="s">
        <v>87</v>
      </c>
      <c r="B42" s="7" t="s">
        <v>38</v>
      </c>
      <c r="C42" s="7" t="s">
        <v>6</v>
      </c>
      <c r="D42" s="8" t="s">
        <v>88</v>
      </c>
      <c r="E42" s="7"/>
      <c r="F42" s="8"/>
      <c r="G42" s="7" t="s">
        <v>89</v>
      </c>
      <c r="H42" s="9" t="n">
        <v>8.2</v>
      </c>
      <c r="I42" s="10" t="n">
        <v>25.009</v>
      </c>
      <c r="J42" s="11" t="n">
        <v>421697.324</v>
      </c>
      <c r="K42" s="11" t="n">
        <v>2046668.33</v>
      </c>
      <c r="L42" s="12" t="n">
        <v>18.5090596</v>
      </c>
      <c r="M42" s="12" t="n">
        <v>-69.7418041</v>
      </c>
      <c r="N42" s="7" t="n">
        <v>37</v>
      </c>
      <c r="O42" s="7" t="s">
        <v>40</v>
      </c>
      <c r="P42" s="8"/>
      <c r="Q42" s="13" t="s">
        <v>25</v>
      </c>
    </row>
    <row r="43" customFormat="false" ht="15" hidden="false" customHeight="false" outlineLevel="0" collapsed="false">
      <c r="A43" s="14" t="s">
        <v>90</v>
      </c>
      <c r="B43" s="14" t="s">
        <v>21</v>
      </c>
      <c r="C43" s="14" t="s">
        <v>6</v>
      </c>
      <c r="D43" s="15" t="s">
        <v>35</v>
      </c>
      <c r="E43" s="14"/>
      <c r="F43" s="15"/>
      <c r="G43" s="14" t="s">
        <v>91</v>
      </c>
      <c r="H43" s="16" t="n">
        <v>2.6</v>
      </c>
      <c r="I43" s="17" t="n">
        <v>24.507</v>
      </c>
      <c r="J43" s="18" t="n">
        <v>421766.534</v>
      </c>
      <c r="K43" s="18" t="n">
        <v>2046548.566</v>
      </c>
      <c r="L43" s="19" t="n">
        <v>18.5079798</v>
      </c>
      <c r="M43" s="19" t="n">
        <v>-69.7411438</v>
      </c>
      <c r="N43" s="14" t="n">
        <v>38</v>
      </c>
      <c r="O43" s="14" t="s">
        <v>24</v>
      </c>
      <c r="P43" s="15"/>
      <c r="Q43" s="20" t="s">
        <v>25</v>
      </c>
    </row>
    <row r="44" customFormat="false" ht="15" hidden="false" customHeight="false" outlineLevel="0" collapsed="false">
      <c r="A44" s="7" t="s">
        <v>92</v>
      </c>
      <c r="B44" s="7" t="s">
        <v>38</v>
      </c>
      <c r="C44" s="7" t="s">
        <v>6</v>
      </c>
      <c r="D44" s="8" t="s">
        <v>35</v>
      </c>
      <c r="E44" s="7"/>
      <c r="F44" s="8"/>
      <c r="G44" s="7" t="s">
        <v>91</v>
      </c>
      <c r="H44" s="9" t="n">
        <v>2.5</v>
      </c>
      <c r="I44" s="10" t="n">
        <v>25.715</v>
      </c>
      <c r="J44" s="11" t="n">
        <v>421832.115</v>
      </c>
      <c r="K44" s="11" t="n">
        <v>2046428.715</v>
      </c>
      <c r="L44" s="12" t="n">
        <v>18.5068991</v>
      </c>
      <c r="M44" s="12" t="n">
        <v>-69.7405179</v>
      </c>
      <c r="N44" s="7" t="n">
        <v>39</v>
      </c>
      <c r="O44" s="7" t="s">
        <v>40</v>
      </c>
      <c r="P44" s="8"/>
      <c r="Q44" s="13" t="s">
        <v>25</v>
      </c>
    </row>
    <row r="45" customFormat="false" ht="15" hidden="false" customHeight="false" outlineLevel="0" collapsed="false">
      <c r="A45" s="14" t="s">
        <v>93</v>
      </c>
      <c r="B45" s="14" t="s">
        <v>38</v>
      </c>
      <c r="C45" s="14" t="s">
        <v>6</v>
      </c>
      <c r="D45" s="15" t="s">
        <v>35</v>
      </c>
      <c r="E45" s="14"/>
      <c r="F45" s="15"/>
      <c r="G45" s="14" t="s">
        <v>94</v>
      </c>
      <c r="H45" s="16" t="n">
        <v>3.6</v>
      </c>
      <c r="I45" s="17" t="n">
        <v>28.892</v>
      </c>
      <c r="J45" s="18" t="n">
        <v>421915.253</v>
      </c>
      <c r="K45" s="18" t="n">
        <v>2046252.391</v>
      </c>
      <c r="L45" s="19" t="n">
        <v>18.5053087</v>
      </c>
      <c r="M45" s="19" t="n">
        <v>-69.7397235</v>
      </c>
      <c r="N45" s="14" t="n">
        <v>40</v>
      </c>
      <c r="O45" s="14" t="s">
        <v>40</v>
      </c>
      <c r="P45" s="15"/>
      <c r="Q45" s="20" t="s">
        <v>25</v>
      </c>
    </row>
    <row r="46" customFormat="false" ht="15" hidden="false" customHeight="false" outlineLevel="0" collapsed="false">
      <c r="A46" s="7" t="s">
        <v>95</v>
      </c>
      <c r="B46" s="7" t="s">
        <v>21</v>
      </c>
      <c r="C46" s="7" t="s">
        <v>6</v>
      </c>
      <c r="D46" s="8" t="s">
        <v>35</v>
      </c>
      <c r="E46" s="7"/>
      <c r="F46" s="8"/>
      <c r="G46" s="7" t="s">
        <v>96</v>
      </c>
      <c r="H46" s="9" t="n">
        <v>1.7</v>
      </c>
      <c r="I46" s="10" t="n">
        <v>27.705</v>
      </c>
      <c r="J46" s="11" t="n">
        <v>421878.462</v>
      </c>
      <c r="K46" s="11" t="n">
        <v>2046040.458</v>
      </c>
      <c r="L46" s="12" t="n">
        <v>18.503392</v>
      </c>
      <c r="M46" s="12" t="n">
        <v>-69.7400638</v>
      </c>
      <c r="N46" s="7" t="n">
        <v>41</v>
      </c>
      <c r="O46" s="7" t="s">
        <v>24</v>
      </c>
      <c r="P46" s="8"/>
      <c r="Q46" s="13" t="s">
        <v>25</v>
      </c>
    </row>
    <row r="47" customFormat="false" ht="15" hidden="false" customHeight="false" outlineLevel="0" collapsed="false">
      <c r="A47" s="14" t="s">
        <v>97</v>
      </c>
      <c r="B47" s="14" t="s">
        <v>38</v>
      </c>
      <c r="C47" s="14" t="s">
        <v>6</v>
      </c>
      <c r="D47" s="15" t="s">
        <v>35</v>
      </c>
      <c r="E47" s="14"/>
      <c r="F47" s="15"/>
      <c r="G47" s="14" t="s">
        <v>98</v>
      </c>
      <c r="H47" s="16" t="n">
        <v>0.8</v>
      </c>
      <c r="I47" s="17" t="n">
        <v>28.591</v>
      </c>
      <c r="J47" s="18" t="n">
        <v>421803.123</v>
      </c>
      <c r="K47" s="18" t="n">
        <v>2045889.111</v>
      </c>
      <c r="L47" s="19" t="n">
        <v>18.5020214</v>
      </c>
      <c r="M47" s="19" t="n">
        <v>-69.7407716</v>
      </c>
      <c r="N47" s="14" t="n">
        <v>42</v>
      </c>
      <c r="O47" s="14" t="s">
        <v>40</v>
      </c>
      <c r="P47" s="15"/>
      <c r="Q47" s="20" t="s">
        <v>25</v>
      </c>
    </row>
    <row r="48" customFormat="false" ht="15" hidden="false" customHeight="false" outlineLevel="0" collapsed="false">
      <c r="A48" s="7" t="s">
        <v>99</v>
      </c>
      <c r="B48" s="7" t="s">
        <v>38</v>
      </c>
      <c r="C48" s="7" t="s">
        <v>6</v>
      </c>
      <c r="D48" s="8" t="s">
        <v>35</v>
      </c>
      <c r="E48" s="7"/>
      <c r="F48" s="8"/>
      <c r="G48" s="7" t="s">
        <v>98</v>
      </c>
      <c r="H48" s="9" t="n">
        <v>0.8</v>
      </c>
      <c r="I48" s="10" t="n">
        <v>29.559</v>
      </c>
      <c r="J48" s="11" t="n">
        <v>421720.61</v>
      </c>
      <c r="K48" s="11" t="n">
        <v>2045723.38</v>
      </c>
      <c r="L48" s="12" t="n">
        <v>18.5005206</v>
      </c>
      <c r="M48" s="12" t="n">
        <v>-69.7415468</v>
      </c>
      <c r="N48" s="7" t="n">
        <v>43</v>
      </c>
      <c r="O48" s="7" t="s">
        <v>40</v>
      </c>
      <c r="P48" s="8"/>
      <c r="Q48" s="13" t="s">
        <v>25</v>
      </c>
    </row>
    <row r="49" customFormat="false" ht="15" hidden="false" customHeight="false" outlineLevel="0" collapsed="false">
      <c r="A49" s="14" t="s">
        <v>100</v>
      </c>
      <c r="B49" s="14" t="s">
        <v>38</v>
      </c>
      <c r="C49" s="14" t="s">
        <v>6</v>
      </c>
      <c r="D49" s="15" t="s">
        <v>35</v>
      </c>
      <c r="E49" s="14"/>
      <c r="F49" s="15"/>
      <c r="G49" s="14" t="s">
        <v>101</v>
      </c>
      <c r="H49" s="16" t="n">
        <v>1.6</v>
      </c>
      <c r="I49" s="17" t="n">
        <v>30.873</v>
      </c>
      <c r="J49" s="18" t="n">
        <v>421616.128</v>
      </c>
      <c r="K49" s="18" t="n">
        <v>2045514.212</v>
      </c>
      <c r="L49" s="19" t="n">
        <v>18.4986264</v>
      </c>
      <c r="M49" s="19" t="n">
        <v>-69.7425283</v>
      </c>
      <c r="N49" s="14" t="n">
        <v>44</v>
      </c>
      <c r="O49" s="14" t="s">
        <v>40</v>
      </c>
      <c r="P49" s="15"/>
      <c r="Q49" s="20" t="s">
        <v>25</v>
      </c>
    </row>
    <row r="50" customFormat="false" ht="15" hidden="false" customHeight="false" outlineLevel="0" collapsed="false">
      <c r="A50" s="7" t="s">
        <v>102</v>
      </c>
      <c r="B50" s="7" t="s">
        <v>38</v>
      </c>
      <c r="C50" s="7" t="s">
        <v>6</v>
      </c>
      <c r="D50" s="8" t="s">
        <v>35</v>
      </c>
      <c r="E50" s="7"/>
      <c r="F50" s="8"/>
      <c r="G50" s="7" t="s">
        <v>101</v>
      </c>
      <c r="H50" s="9" t="n">
        <v>2</v>
      </c>
      <c r="I50" s="10" t="n">
        <v>31.535</v>
      </c>
      <c r="J50" s="11" t="n">
        <v>421575.406</v>
      </c>
      <c r="K50" s="11" t="n">
        <v>2045432.34</v>
      </c>
      <c r="L50" s="12" t="n">
        <v>18.4978849</v>
      </c>
      <c r="M50" s="12" t="n">
        <v>-69.7429109</v>
      </c>
      <c r="N50" s="7" t="n">
        <v>45</v>
      </c>
      <c r="O50" s="7" t="s">
        <v>40</v>
      </c>
      <c r="P50" s="8"/>
      <c r="Q50" s="13" t="s">
        <v>25</v>
      </c>
    </row>
    <row r="51" customFormat="false" ht="15" hidden="false" customHeight="false" outlineLevel="0" collapsed="false">
      <c r="A51" s="14" t="s">
        <v>103</v>
      </c>
      <c r="B51" s="14" t="s">
        <v>38</v>
      </c>
      <c r="C51" s="14" t="s">
        <v>6</v>
      </c>
      <c r="D51" s="15" t="s">
        <v>104</v>
      </c>
      <c r="E51" s="14"/>
      <c r="F51" s="15"/>
      <c r="G51" s="14" t="s">
        <v>105</v>
      </c>
      <c r="H51" s="16" t="n">
        <v>5</v>
      </c>
      <c r="I51" s="17" t="n">
        <v>32.843</v>
      </c>
      <c r="J51" s="18" t="n">
        <v>421519.193</v>
      </c>
      <c r="K51" s="18" t="n">
        <v>2045313.367</v>
      </c>
      <c r="L51" s="19" t="n">
        <v>18.4968076</v>
      </c>
      <c r="M51" s="19" t="n">
        <v>-69.7434387</v>
      </c>
      <c r="N51" s="14" t="n">
        <v>46</v>
      </c>
      <c r="O51" s="14" t="s">
        <v>40</v>
      </c>
      <c r="P51" s="15"/>
      <c r="Q51" s="20" t="s">
        <v>25</v>
      </c>
    </row>
    <row r="52" customFormat="false" ht="15" hidden="false" customHeight="false" outlineLevel="0" collapsed="false">
      <c r="A52" s="7" t="s">
        <v>106</v>
      </c>
      <c r="B52" s="7" t="s">
        <v>38</v>
      </c>
      <c r="C52" s="7" t="s">
        <v>6</v>
      </c>
      <c r="D52" s="8" t="s">
        <v>35</v>
      </c>
      <c r="E52" s="7"/>
      <c r="F52" s="8"/>
      <c r="G52" s="7" t="s">
        <v>105</v>
      </c>
      <c r="H52" s="9" t="n">
        <v>1.6</v>
      </c>
      <c r="I52" s="10" t="n">
        <v>33.333</v>
      </c>
      <c r="J52" s="11" t="n">
        <v>421533.78</v>
      </c>
      <c r="K52" s="11" t="n">
        <v>2045159.882</v>
      </c>
      <c r="L52" s="12" t="n">
        <v>18.4954211</v>
      </c>
      <c r="M52" s="12" t="n">
        <v>-69.7432945</v>
      </c>
      <c r="N52" s="7" t="n">
        <v>47</v>
      </c>
      <c r="O52" s="7" t="s">
        <v>40</v>
      </c>
      <c r="P52" s="8"/>
      <c r="Q52" s="13" t="s">
        <v>25</v>
      </c>
    </row>
    <row r="53" customFormat="false" ht="15" hidden="false" customHeight="false" outlineLevel="0" collapsed="false">
      <c r="A53" s="14" t="s">
        <v>107</v>
      </c>
      <c r="B53" s="14" t="s">
        <v>21</v>
      </c>
      <c r="C53" s="14" t="s">
        <v>6</v>
      </c>
      <c r="D53" s="15" t="s">
        <v>35</v>
      </c>
      <c r="E53" s="14"/>
      <c r="F53" s="15"/>
      <c r="G53" s="14" t="s">
        <v>108</v>
      </c>
      <c r="H53" s="16" t="n">
        <v>1.9</v>
      </c>
      <c r="I53" s="17" t="n">
        <v>32.695</v>
      </c>
      <c r="J53" s="18" t="n">
        <v>421535.513</v>
      </c>
      <c r="K53" s="18" t="n">
        <v>2045094.554</v>
      </c>
      <c r="L53" s="19" t="n">
        <v>18.4948307</v>
      </c>
      <c r="M53" s="19" t="n">
        <v>-69.7432756</v>
      </c>
      <c r="N53" s="14" t="n">
        <v>48</v>
      </c>
      <c r="O53" s="14" t="s">
        <v>24</v>
      </c>
      <c r="P53" s="15"/>
      <c r="Q53" s="20" t="s">
        <v>25</v>
      </c>
    </row>
    <row r="54" customFormat="false" ht="15" hidden="false" customHeight="false" outlineLevel="0" collapsed="false">
      <c r="A54" s="7" t="s">
        <v>109</v>
      </c>
      <c r="B54" s="7" t="s">
        <v>38</v>
      </c>
      <c r="C54" s="7" t="s">
        <v>6</v>
      </c>
      <c r="D54" s="8" t="s">
        <v>35</v>
      </c>
      <c r="E54" s="7"/>
      <c r="F54" s="8"/>
      <c r="G54" s="7" t="s">
        <v>108</v>
      </c>
      <c r="H54" s="9" t="n">
        <v>2.1</v>
      </c>
      <c r="I54" s="10" t="n">
        <v>32.957</v>
      </c>
      <c r="J54" s="11" t="n">
        <v>421536.363</v>
      </c>
      <c r="K54" s="11" t="n">
        <v>2045059.524</v>
      </c>
      <c r="L54" s="12" t="n">
        <v>18.4945142</v>
      </c>
      <c r="M54" s="12" t="n">
        <v>-69.7432662</v>
      </c>
      <c r="N54" s="7" t="n">
        <v>49</v>
      </c>
      <c r="O54" s="7" t="s">
        <v>40</v>
      </c>
      <c r="P54" s="8"/>
      <c r="Q54" s="13" t="s">
        <v>25</v>
      </c>
    </row>
    <row r="55" customFormat="false" ht="15" hidden="false" customHeight="false" outlineLevel="0" collapsed="false">
      <c r="A55" s="14" t="s">
        <v>110</v>
      </c>
      <c r="B55" s="14" t="s">
        <v>38</v>
      </c>
      <c r="C55" s="14" t="s">
        <v>6</v>
      </c>
      <c r="D55" s="15" t="s">
        <v>35</v>
      </c>
      <c r="E55" s="14"/>
      <c r="F55" s="15"/>
      <c r="G55" s="14" t="s">
        <v>108</v>
      </c>
      <c r="H55" s="16" t="n">
        <v>2.1</v>
      </c>
      <c r="I55" s="17" t="n">
        <v>33.102</v>
      </c>
      <c r="J55" s="18" t="n">
        <v>421537.303</v>
      </c>
      <c r="K55" s="18" t="n">
        <v>2045014.559</v>
      </c>
      <c r="L55" s="19" t="n">
        <v>18.4941079</v>
      </c>
      <c r="M55" s="19" t="n">
        <v>-69.7432555</v>
      </c>
      <c r="N55" s="14" t="n">
        <v>50</v>
      </c>
      <c r="O55" s="14" t="s">
        <v>40</v>
      </c>
      <c r="P55" s="15"/>
      <c r="Q55" s="20" t="s">
        <v>25</v>
      </c>
    </row>
    <row r="56" customFormat="false" ht="15" hidden="false" customHeight="false" outlineLevel="0" collapsed="false">
      <c r="A56" s="7" t="s">
        <v>111</v>
      </c>
      <c r="B56" s="7" t="s">
        <v>38</v>
      </c>
      <c r="C56" s="7" t="s">
        <v>6</v>
      </c>
      <c r="D56" s="8" t="s">
        <v>112</v>
      </c>
      <c r="E56" s="7"/>
      <c r="F56" s="8"/>
      <c r="G56" s="7" t="s">
        <v>45</v>
      </c>
      <c r="H56" s="9" t="n">
        <v>5</v>
      </c>
      <c r="I56" s="10" t="n">
        <v>34.968</v>
      </c>
      <c r="J56" s="11" t="n">
        <v>421536.109</v>
      </c>
      <c r="K56" s="11" t="n">
        <v>2044850.529</v>
      </c>
      <c r="L56" s="12" t="n">
        <v>18.4926254</v>
      </c>
      <c r="M56" s="12" t="n">
        <v>-69.7432604</v>
      </c>
      <c r="N56" s="7" t="n">
        <v>51</v>
      </c>
      <c r="O56" s="7" t="s">
        <v>40</v>
      </c>
      <c r="P56" s="8"/>
      <c r="Q56" s="13" t="s">
        <v>25</v>
      </c>
    </row>
    <row r="57" customFormat="false" ht="15" hidden="false" customHeight="false" outlineLevel="0" collapsed="false">
      <c r="A57" s="14" t="s">
        <v>113</v>
      </c>
      <c r="B57" s="14" t="s">
        <v>38</v>
      </c>
      <c r="C57" s="14" t="s">
        <v>6</v>
      </c>
      <c r="D57" s="15" t="s">
        <v>35</v>
      </c>
      <c r="E57" s="14"/>
      <c r="F57" s="15"/>
      <c r="G57" s="14" t="s">
        <v>45</v>
      </c>
      <c r="H57" s="16" t="n">
        <v>1.9</v>
      </c>
      <c r="I57" s="17" t="n">
        <v>35.029</v>
      </c>
      <c r="J57" s="18" t="n">
        <v>421541.935</v>
      </c>
      <c r="K57" s="18" t="n">
        <v>2044779.268</v>
      </c>
      <c r="L57" s="19" t="n">
        <v>18.4919816</v>
      </c>
      <c r="M57" s="19" t="n">
        <v>-69.7432025</v>
      </c>
      <c r="N57" s="14" t="n">
        <v>52</v>
      </c>
      <c r="O57" s="14" t="s">
        <v>40</v>
      </c>
      <c r="P57" s="15"/>
      <c r="Q57" s="20" t="s">
        <v>25</v>
      </c>
    </row>
    <row r="58" customFormat="false" ht="15" hidden="false" customHeight="false" outlineLevel="0" collapsed="false">
      <c r="A58" s="7" t="s">
        <v>114</v>
      </c>
      <c r="B58" s="7" t="s">
        <v>38</v>
      </c>
      <c r="C58" s="7" t="s">
        <v>6</v>
      </c>
      <c r="D58" s="8" t="s">
        <v>35</v>
      </c>
      <c r="E58" s="7"/>
      <c r="F58" s="8"/>
      <c r="G58" s="7" t="s">
        <v>45</v>
      </c>
      <c r="H58" s="9" t="n">
        <v>1.9</v>
      </c>
      <c r="I58" s="10" t="n">
        <v>34.242</v>
      </c>
      <c r="J58" s="11" t="n">
        <v>421543.641</v>
      </c>
      <c r="K58" s="11" t="n">
        <v>2044699.385</v>
      </c>
      <c r="L58" s="12" t="n">
        <v>18.4912597</v>
      </c>
      <c r="M58" s="12" t="n">
        <v>-69.7431832</v>
      </c>
      <c r="N58" s="7" t="n">
        <v>53</v>
      </c>
      <c r="O58" s="7" t="s">
        <v>40</v>
      </c>
      <c r="P58" s="8"/>
      <c r="Q58" s="13" t="s">
        <v>25</v>
      </c>
    </row>
    <row r="59" customFormat="false" ht="15" hidden="false" customHeight="false" outlineLevel="0" collapsed="false">
      <c r="A59" s="14" t="s">
        <v>115</v>
      </c>
      <c r="B59" s="14" t="s">
        <v>21</v>
      </c>
      <c r="C59" s="14" t="s">
        <v>6</v>
      </c>
      <c r="D59" s="15" t="s">
        <v>35</v>
      </c>
      <c r="E59" s="14"/>
      <c r="F59" s="15"/>
      <c r="G59" s="14" t="s">
        <v>45</v>
      </c>
      <c r="H59" s="16" t="n">
        <v>2</v>
      </c>
      <c r="I59" s="17" t="n">
        <v>33.69</v>
      </c>
      <c r="J59" s="18" t="n">
        <v>421544.797</v>
      </c>
      <c r="K59" s="18" t="n">
        <v>2044647.796</v>
      </c>
      <c r="L59" s="19" t="n">
        <v>18.4907935</v>
      </c>
      <c r="M59" s="19" t="n">
        <v>-69.7431702</v>
      </c>
      <c r="N59" s="14" t="n">
        <v>54</v>
      </c>
      <c r="O59" s="14" t="s">
        <v>24</v>
      </c>
      <c r="P59" s="15"/>
      <c r="Q59" s="20" t="s">
        <v>25</v>
      </c>
    </row>
    <row r="60" customFormat="false" ht="15" hidden="false" customHeight="false" outlineLevel="0" collapsed="false">
      <c r="A60" s="7" t="s">
        <v>116</v>
      </c>
      <c r="B60" s="7" t="s">
        <v>38</v>
      </c>
      <c r="C60" s="7" t="s">
        <v>6</v>
      </c>
      <c r="D60" s="8" t="s">
        <v>35</v>
      </c>
      <c r="E60" s="7"/>
      <c r="F60" s="8"/>
      <c r="G60" s="7" t="s">
        <v>45</v>
      </c>
      <c r="H60" s="9" t="n">
        <v>9.2</v>
      </c>
      <c r="I60" s="10" t="n">
        <v>33.874</v>
      </c>
      <c r="J60" s="11" t="n">
        <v>421552.078</v>
      </c>
      <c r="K60" s="11" t="n">
        <v>2044645.264</v>
      </c>
      <c r="L60" s="12" t="n">
        <v>18.4907709</v>
      </c>
      <c r="M60" s="12" t="n">
        <v>-69.7431012</v>
      </c>
      <c r="N60" s="7" t="n">
        <v>55</v>
      </c>
      <c r="O60" s="7" t="s">
        <v>40</v>
      </c>
      <c r="P60" s="8"/>
      <c r="Q60" s="13" t="s">
        <v>25</v>
      </c>
    </row>
    <row r="61" customFormat="false" ht="15" hidden="false" customHeight="false" outlineLevel="0" collapsed="false">
      <c r="A61" s="14" t="s">
        <v>117</v>
      </c>
      <c r="B61" s="14" t="s">
        <v>38</v>
      </c>
      <c r="C61" s="14" t="s">
        <v>6</v>
      </c>
      <c r="D61" s="15" t="s">
        <v>35</v>
      </c>
      <c r="E61" s="14"/>
      <c r="F61" s="15"/>
      <c r="G61" s="14" t="s">
        <v>45</v>
      </c>
      <c r="H61" s="16" t="n">
        <v>2</v>
      </c>
      <c r="I61" s="17" t="n">
        <v>34.085</v>
      </c>
      <c r="J61" s="18" t="n">
        <v>421545.801</v>
      </c>
      <c r="K61" s="18" t="n">
        <v>2044599.086</v>
      </c>
      <c r="L61" s="19" t="n">
        <v>18.4903534</v>
      </c>
      <c r="M61" s="19" t="n">
        <v>-69.7431588</v>
      </c>
      <c r="N61" s="14" t="n">
        <v>56</v>
      </c>
      <c r="O61" s="14" t="s">
        <v>40</v>
      </c>
      <c r="P61" s="15"/>
      <c r="Q61" s="20" t="s">
        <v>25</v>
      </c>
    </row>
    <row r="62" customFormat="false" ht="15" hidden="false" customHeight="false" outlineLevel="0" collapsed="false">
      <c r="A62" s="7" t="s">
        <v>118</v>
      </c>
      <c r="B62" s="7" t="s">
        <v>38</v>
      </c>
      <c r="C62" s="7" t="s">
        <v>6</v>
      </c>
      <c r="D62" s="8" t="s">
        <v>35</v>
      </c>
      <c r="E62" s="7"/>
      <c r="F62" s="8"/>
      <c r="G62" s="7" t="s">
        <v>45</v>
      </c>
      <c r="H62" s="9" t="n">
        <v>2</v>
      </c>
      <c r="I62" s="10" t="n">
        <v>34.556</v>
      </c>
      <c r="J62" s="11" t="n">
        <v>421547.432</v>
      </c>
      <c r="K62" s="11" t="n">
        <v>2044519.171</v>
      </c>
      <c r="L62" s="12" t="n">
        <v>18.4896312</v>
      </c>
      <c r="M62" s="12" t="n">
        <v>-69.7431403</v>
      </c>
      <c r="N62" s="7" t="n">
        <v>57</v>
      </c>
      <c r="O62" s="7" t="s">
        <v>40</v>
      </c>
      <c r="P62" s="8"/>
      <c r="Q62" s="13" t="s">
        <v>25</v>
      </c>
    </row>
    <row r="63" customFormat="false" ht="15" hidden="false" customHeight="false" outlineLevel="0" collapsed="false">
      <c r="A63" s="14" t="s">
        <v>119</v>
      </c>
      <c r="B63" s="14" t="s">
        <v>38</v>
      </c>
      <c r="C63" s="14" t="s">
        <v>6</v>
      </c>
      <c r="D63" s="15" t="s">
        <v>35</v>
      </c>
      <c r="E63" s="14"/>
      <c r="F63" s="15"/>
      <c r="G63" s="14" t="s">
        <v>45</v>
      </c>
      <c r="H63" s="16" t="n">
        <v>33.4</v>
      </c>
      <c r="I63" s="17" t="n">
        <v>35.033</v>
      </c>
      <c r="J63" s="18" t="n">
        <v>421549.173</v>
      </c>
      <c r="K63" s="18" t="n">
        <v>2044433.358</v>
      </c>
      <c r="L63" s="19" t="n">
        <v>18.4888557</v>
      </c>
      <c r="M63" s="19" t="n">
        <v>-69.7431204</v>
      </c>
      <c r="N63" s="14" t="n">
        <v>58</v>
      </c>
      <c r="O63" s="14" t="s">
        <v>40</v>
      </c>
      <c r="P63" s="15"/>
      <c r="Q63" s="20" t="s">
        <v>25</v>
      </c>
    </row>
    <row r="64" customFormat="false" ht="15" hidden="false" customHeight="false" outlineLevel="0" collapsed="false">
      <c r="A64" s="7" t="s">
        <v>120</v>
      </c>
      <c r="B64" s="7" t="s">
        <v>38</v>
      </c>
      <c r="C64" s="7" t="s">
        <v>6</v>
      </c>
      <c r="D64" s="8" t="s">
        <v>35</v>
      </c>
      <c r="E64" s="7"/>
      <c r="F64" s="8"/>
      <c r="G64" s="7" t="s">
        <v>43</v>
      </c>
      <c r="H64" s="9" t="n">
        <v>2.7</v>
      </c>
      <c r="I64" s="10" t="n">
        <v>34.608</v>
      </c>
      <c r="J64" s="11" t="n">
        <v>421546.546</v>
      </c>
      <c r="K64" s="11" t="n">
        <v>2044359.325</v>
      </c>
      <c r="L64" s="12" t="n">
        <v>18.4881866</v>
      </c>
      <c r="M64" s="12" t="n">
        <v>-69.7431424</v>
      </c>
      <c r="N64" s="7" t="n">
        <v>59</v>
      </c>
      <c r="O64" s="7" t="s">
        <v>40</v>
      </c>
      <c r="P64" s="8"/>
      <c r="Q64" s="13" t="s">
        <v>25</v>
      </c>
    </row>
    <row r="65" customFormat="false" ht="15" hidden="false" customHeight="false" outlineLevel="0" collapsed="false">
      <c r="A65" s="14" t="s">
        <v>121</v>
      </c>
      <c r="B65" s="14" t="s">
        <v>38</v>
      </c>
      <c r="C65" s="14" t="s">
        <v>6</v>
      </c>
      <c r="D65" s="15" t="s">
        <v>35</v>
      </c>
      <c r="E65" s="14"/>
      <c r="F65" s="15"/>
      <c r="G65" s="14" t="s">
        <v>43</v>
      </c>
      <c r="H65" s="16" t="n">
        <v>1.9</v>
      </c>
      <c r="I65" s="17" t="n">
        <v>34.02</v>
      </c>
      <c r="J65" s="18" t="n">
        <v>421552.388</v>
      </c>
      <c r="K65" s="18" t="n">
        <v>2044279.383</v>
      </c>
      <c r="L65" s="19" t="n">
        <v>18.4874643</v>
      </c>
      <c r="M65" s="19" t="n">
        <v>-69.743084</v>
      </c>
      <c r="N65" s="14" t="n">
        <v>60</v>
      </c>
      <c r="O65" s="14" t="s">
        <v>40</v>
      </c>
      <c r="P65" s="15"/>
      <c r="Q65" s="20" t="s">
        <v>25</v>
      </c>
    </row>
    <row r="66" customFormat="false" ht="15" hidden="false" customHeight="false" outlineLevel="0" collapsed="false">
      <c r="A66" s="7" t="s">
        <v>122</v>
      </c>
      <c r="B66" s="7" t="s">
        <v>38</v>
      </c>
      <c r="C66" s="7" t="s">
        <v>6</v>
      </c>
      <c r="D66" s="8" t="s">
        <v>35</v>
      </c>
      <c r="E66" s="7"/>
      <c r="F66" s="8"/>
      <c r="G66" s="7" t="s">
        <v>43</v>
      </c>
      <c r="H66" s="9" t="n">
        <v>1.7</v>
      </c>
      <c r="I66" s="10" t="n">
        <v>33.443</v>
      </c>
      <c r="J66" s="11" t="n">
        <v>421553.807</v>
      </c>
      <c r="K66" s="11" t="n">
        <v>2044199.132</v>
      </c>
      <c r="L66" s="12" t="n">
        <v>18.4867391</v>
      </c>
      <c r="M66" s="12" t="n">
        <v>-69.7430674</v>
      </c>
      <c r="N66" s="7" t="n">
        <v>61</v>
      </c>
      <c r="O66" s="7" t="s">
        <v>40</v>
      </c>
      <c r="P66" s="8"/>
      <c r="Q66" s="13" t="s">
        <v>25</v>
      </c>
    </row>
    <row r="67" customFormat="false" ht="15" hidden="false" customHeight="false" outlineLevel="0" collapsed="false">
      <c r="A67" s="14" t="s">
        <v>123</v>
      </c>
      <c r="B67" s="14" t="s">
        <v>38</v>
      </c>
      <c r="C67" s="14" t="s">
        <v>6</v>
      </c>
      <c r="D67" s="15" t="s">
        <v>35</v>
      </c>
      <c r="E67" s="14"/>
      <c r="F67" s="15"/>
      <c r="G67" s="14" t="s">
        <v>36</v>
      </c>
      <c r="H67" s="16" t="n">
        <v>1.9</v>
      </c>
      <c r="I67" s="17" t="n">
        <v>32.884</v>
      </c>
      <c r="J67" s="18" t="n">
        <v>421555.698</v>
      </c>
      <c r="K67" s="18" t="n">
        <v>2044119.533</v>
      </c>
      <c r="L67" s="19" t="n">
        <v>18.4860198</v>
      </c>
      <c r="M67" s="19" t="n">
        <v>-69.7430464</v>
      </c>
      <c r="N67" s="14" t="n">
        <v>62</v>
      </c>
      <c r="O67" s="14" t="s">
        <v>40</v>
      </c>
      <c r="P67" s="15"/>
      <c r="Q67" s="20" t="s">
        <v>25</v>
      </c>
    </row>
    <row r="68" customFormat="false" ht="15" hidden="false" customHeight="false" outlineLevel="0" collapsed="false">
      <c r="A68" s="7" t="s">
        <v>124</v>
      </c>
      <c r="B68" s="7" t="s">
        <v>38</v>
      </c>
      <c r="C68" s="7" t="s">
        <v>6</v>
      </c>
      <c r="D68" s="8" t="s">
        <v>35</v>
      </c>
      <c r="E68" s="7"/>
      <c r="F68" s="8"/>
      <c r="G68" s="7" t="s">
        <v>39</v>
      </c>
      <c r="H68" s="9" t="n">
        <v>2</v>
      </c>
      <c r="I68" s="10" t="n">
        <v>32.813</v>
      </c>
      <c r="J68" s="11" t="n">
        <v>421557.339</v>
      </c>
      <c r="K68" s="11" t="n">
        <v>2044044.967</v>
      </c>
      <c r="L68" s="12" t="n">
        <v>18.485346</v>
      </c>
      <c r="M68" s="12" t="n">
        <v>-69.7430279</v>
      </c>
      <c r="N68" s="7" t="n">
        <v>63</v>
      </c>
      <c r="O68" s="7" t="s">
        <v>40</v>
      </c>
      <c r="P68" s="8"/>
      <c r="Q68" s="13" t="s">
        <v>25</v>
      </c>
    </row>
    <row r="69" customFormat="false" ht="15" hidden="false" customHeight="false" outlineLevel="0" collapsed="false">
      <c r="A69" s="14" t="s">
        <v>125</v>
      </c>
      <c r="B69" s="14" t="s">
        <v>21</v>
      </c>
      <c r="C69" s="14" t="s">
        <v>6</v>
      </c>
      <c r="D69" s="15" t="s">
        <v>126</v>
      </c>
      <c r="E69" s="14"/>
      <c r="F69" s="15"/>
      <c r="G69" s="14" t="s">
        <v>43</v>
      </c>
      <c r="H69" s="16" t="n">
        <v>2</v>
      </c>
      <c r="I69" s="17" t="n">
        <v>32.101</v>
      </c>
      <c r="J69" s="18" t="n">
        <v>421462.196</v>
      </c>
      <c r="K69" s="18" t="n">
        <v>2044072.382</v>
      </c>
      <c r="L69" s="19" t="n">
        <v>18.4855902</v>
      </c>
      <c r="M69" s="19" t="n">
        <v>-69.7439302</v>
      </c>
      <c r="N69" s="14" t="n">
        <v>64</v>
      </c>
      <c r="O69" s="14" t="s">
        <v>24</v>
      </c>
      <c r="P69" s="15"/>
      <c r="Q69" s="20" t="s">
        <v>25</v>
      </c>
    </row>
    <row r="70" customFormat="false" ht="15" hidden="false" customHeight="false" outlineLevel="0" collapsed="false">
      <c r="A70" s="7" t="s">
        <v>127</v>
      </c>
      <c r="B70" s="7" t="s">
        <v>21</v>
      </c>
      <c r="C70" s="7" t="s">
        <v>6</v>
      </c>
      <c r="D70" s="8" t="s">
        <v>126</v>
      </c>
      <c r="E70" s="7"/>
      <c r="F70" s="8"/>
      <c r="G70" s="7" t="s">
        <v>128</v>
      </c>
      <c r="H70" s="9" t="n">
        <v>4.1</v>
      </c>
      <c r="I70" s="10" t="n">
        <v>32.314</v>
      </c>
      <c r="J70" s="11" t="n">
        <v>421463.926</v>
      </c>
      <c r="K70" s="11" t="n">
        <v>2044056.537</v>
      </c>
      <c r="L70" s="12" t="n">
        <v>18.4854471</v>
      </c>
      <c r="M70" s="12" t="n">
        <v>-69.7439132</v>
      </c>
      <c r="N70" s="7" t="n">
        <v>65</v>
      </c>
      <c r="O70" s="7" t="s">
        <v>24</v>
      </c>
      <c r="P70" s="8"/>
      <c r="Q70" s="13" t="s">
        <v>25</v>
      </c>
    </row>
    <row r="71" customFormat="false" ht="15" hidden="false" customHeight="false" outlineLevel="0" collapsed="false">
      <c r="A71" s="14" t="s">
        <v>129</v>
      </c>
      <c r="B71" s="14" t="s">
        <v>38</v>
      </c>
      <c r="C71" s="14" t="s">
        <v>6</v>
      </c>
      <c r="D71" s="15" t="s">
        <v>130</v>
      </c>
      <c r="E71" s="14"/>
      <c r="F71" s="15"/>
      <c r="G71" s="14" t="s">
        <v>131</v>
      </c>
      <c r="H71" s="16" t="n">
        <v>3.9</v>
      </c>
      <c r="I71" s="17" t="n">
        <v>32.276</v>
      </c>
      <c r="J71" s="18" t="n">
        <v>421316.098</v>
      </c>
      <c r="K71" s="18" t="n">
        <v>2044065.993</v>
      </c>
      <c r="L71" s="19" t="n">
        <v>18.485527</v>
      </c>
      <c r="M71" s="19" t="n">
        <v>-69.7453137</v>
      </c>
      <c r="N71" s="14" t="n">
        <v>66</v>
      </c>
      <c r="O71" s="14" t="s">
        <v>40</v>
      </c>
      <c r="P71" s="15"/>
      <c r="Q71" s="20" t="s">
        <v>25</v>
      </c>
    </row>
    <row r="72" customFormat="false" ht="15" hidden="false" customHeight="false" outlineLevel="0" collapsed="false">
      <c r="A72" s="7" t="s">
        <v>132</v>
      </c>
      <c r="B72" s="7" t="s">
        <v>38</v>
      </c>
      <c r="C72" s="7" t="s">
        <v>6</v>
      </c>
      <c r="D72" s="8" t="s">
        <v>126</v>
      </c>
      <c r="E72" s="7"/>
      <c r="F72" s="8"/>
      <c r="G72" s="7" t="s">
        <v>133</v>
      </c>
      <c r="H72" s="9" t="n">
        <v>6.1</v>
      </c>
      <c r="I72" s="10" t="n">
        <v>32.3</v>
      </c>
      <c r="J72" s="11" t="n">
        <v>421318.639</v>
      </c>
      <c r="K72" s="11" t="n">
        <v>2044050.061</v>
      </c>
      <c r="L72" s="12" t="n">
        <v>18.4853832</v>
      </c>
      <c r="M72" s="12" t="n">
        <v>-69.745289</v>
      </c>
      <c r="N72" s="7" t="n">
        <v>67</v>
      </c>
      <c r="O72" s="7" t="s">
        <v>40</v>
      </c>
      <c r="P72" s="8"/>
      <c r="Q72" s="13" t="s">
        <v>25</v>
      </c>
    </row>
    <row r="73" customFormat="false" ht="15" hidden="false" customHeight="false" outlineLevel="0" collapsed="false">
      <c r="A73" s="14" t="s">
        <v>134</v>
      </c>
      <c r="B73" s="14" t="s">
        <v>21</v>
      </c>
      <c r="C73" s="14" t="s">
        <v>6</v>
      </c>
      <c r="D73" s="15" t="s">
        <v>130</v>
      </c>
      <c r="E73" s="14"/>
      <c r="F73" s="15"/>
      <c r="G73" s="14" t="s">
        <v>131</v>
      </c>
      <c r="H73" s="16" t="n">
        <v>4</v>
      </c>
      <c r="I73" s="17" t="n">
        <v>31.621</v>
      </c>
      <c r="J73" s="18" t="n">
        <v>421285.354</v>
      </c>
      <c r="K73" s="18" t="n">
        <v>2044118.776</v>
      </c>
      <c r="L73" s="19" t="n">
        <v>18.4860029</v>
      </c>
      <c r="M73" s="19" t="n">
        <v>-69.745607</v>
      </c>
      <c r="N73" s="14" t="n">
        <v>68</v>
      </c>
      <c r="O73" s="14" t="s">
        <v>24</v>
      </c>
      <c r="P73" s="15"/>
      <c r="Q73" s="20" t="s">
        <v>25</v>
      </c>
    </row>
    <row r="74" customFormat="false" ht="15" hidden="false" customHeight="false" outlineLevel="0" collapsed="false">
      <c r="A74" s="7" t="s">
        <v>135</v>
      </c>
      <c r="B74" s="7" t="s">
        <v>21</v>
      </c>
      <c r="C74" s="7" t="s">
        <v>6</v>
      </c>
      <c r="D74" s="8" t="s">
        <v>130</v>
      </c>
      <c r="E74" s="7"/>
      <c r="F74" s="8"/>
      <c r="G74" s="7" t="s">
        <v>136</v>
      </c>
      <c r="H74" s="9" t="n">
        <v>2.1</v>
      </c>
      <c r="I74" s="10" t="n">
        <v>31.639</v>
      </c>
      <c r="J74" s="11" t="n">
        <v>421269.507</v>
      </c>
      <c r="K74" s="11" t="n">
        <v>2044117.568</v>
      </c>
      <c r="L74" s="12" t="n">
        <v>18.4859914</v>
      </c>
      <c r="M74" s="12" t="n">
        <v>-69.745757</v>
      </c>
      <c r="N74" s="7" t="n">
        <v>69</v>
      </c>
      <c r="O74" s="7" t="s">
        <v>24</v>
      </c>
      <c r="P74" s="8"/>
      <c r="Q74" s="13" t="s">
        <v>25</v>
      </c>
    </row>
    <row r="75" customFormat="false" ht="15" hidden="false" customHeight="false" outlineLevel="0" collapsed="false">
      <c r="A75" s="14" t="s">
        <v>137</v>
      </c>
      <c r="B75" s="14" t="s">
        <v>21</v>
      </c>
      <c r="C75" s="14" t="s">
        <v>6</v>
      </c>
      <c r="D75" s="15" t="s">
        <v>130</v>
      </c>
      <c r="E75" s="14"/>
      <c r="F75" s="15"/>
      <c r="G75" s="14" t="s">
        <v>131</v>
      </c>
      <c r="H75" s="16" t="n">
        <v>3.9</v>
      </c>
      <c r="I75" s="17" t="n">
        <v>32.729</v>
      </c>
      <c r="J75" s="18" t="n">
        <v>421281.865</v>
      </c>
      <c r="K75" s="18" t="n">
        <v>2044194.484</v>
      </c>
      <c r="L75" s="19" t="n">
        <v>18.486687</v>
      </c>
      <c r="M75" s="19" t="n">
        <v>-69.745643</v>
      </c>
      <c r="N75" s="14" t="n">
        <v>70</v>
      </c>
      <c r="O75" s="14" t="s">
        <v>24</v>
      </c>
      <c r="P75" s="15"/>
      <c r="Q75" s="20" t="s">
        <v>25</v>
      </c>
    </row>
    <row r="76" customFormat="false" ht="15" hidden="false" customHeight="false" outlineLevel="0" collapsed="false">
      <c r="A76" s="7" t="s">
        <v>138</v>
      </c>
      <c r="B76" s="7" t="s">
        <v>38</v>
      </c>
      <c r="C76" s="7" t="s">
        <v>6</v>
      </c>
      <c r="D76" s="8" t="s">
        <v>139</v>
      </c>
      <c r="E76" s="7"/>
      <c r="F76" s="8"/>
      <c r="G76" s="7" t="s">
        <v>140</v>
      </c>
      <c r="H76" s="9" t="n">
        <v>1.9</v>
      </c>
      <c r="I76" s="10" t="n">
        <v>32.577</v>
      </c>
      <c r="J76" s="11" t="n">
        <v>421265.135</v>
      </c>
      <c r="K76" s="11" t="n">
        <v>2044189.389</v>
      </c>
      <c r="L76" s="12" t="n">
        <v>18.4866403</v>
      </c>
      <c r="M76" s="12" t="n">
        <v>-69.7458012</v>
      </c>
      <c r="N76" s="7" t="n">
        <v>71</v>
      </c>
      <c r="O76" s="7" t="s">
        <v>40</v>
      </c>
      <c r="P76" s="8"/>
      <c r="Q76" s="13" t="s">
        <v>25</v>
      </c>
    </row>
    <row r="77" customFormat="false" ht="15" hidden="false" customHeight="false" outlineLevel="0" collapsed="false">
      <c r="A77" s="14" t="s">
        <v>141</v>
      </c>
      <c r="B77" s="14" t="s">
        <v>38</v>
      </c>
      <c r="C77" s="14" t="s">
        <v>6</v>
      </c>
      <c r="D77" s="15" t="s">
        <v>130</v>
      </c>
      <c r="E77" s="14"/>
      <c r="F77" s="15"/>
      <c r="G77" s="14" t="s">
        <v>142</v>
      </c>
      <c r="H77" s="16" t="n">
        <v>3.8</v>
      </c>
      <c r="I77" s="17" t="n">
        <v>32.911</v>
      </c>
      <c r="J77" s="18" t="n">
        <v>421280.148</v>
      </c>
      <c r="K77" s="18" t="n">
        <v>2044233.187</v>
      </c>
      <c r="L77" s="19" t="n">
        <v>18.4870367</v>
      </c>
      <c r="M77" s="19" t="n">
        <v>-69.7456608</v>
      </c>
      <c r="N77" s="14" t="n">
        <v>72</v>
      </c>
      <c r="O77" s="14" t="s">
        <v>40</v>
      </c>
      <c r="P77" s="15"/>
      <c r="Q77" s="20" t="s">
        <v>25</v>
      </c>
    </row>
    <row r="78" customFormat="false" ht="15" hidden="false" customHeight="false" outlineLevel="0" collapsed="false">
      <c r="A78" s="7" t="s">
        <v>143</v>
      </c>
      <c r="B78" s="7" t="s">
        <v>38</v>
      </c>
      <c r="C78" s="7" t="s">
        <v>6</v>
      </c>
      <c r="D78" s="8" t="s">
        <v>130</v>
      </c>
      <c r="E78" s="7"/>
      <c r="F78" s="8"/>
      <c r="G78" s="7" t="s">
        <v>144</v>
      </c>
      <c r="H78" s="9" t="n">
        <v>2.3</v>
      </c>
      <c r="I78" s="10" t="n">
        <v>33.002</v>
      </c>
      <c r="J78" s="11" t="n">
        <v>421264.258</v>
      </c>
      <c r="K78" s="11" t="n">
        <v>2044232.345</v>
      </c>
      <c r="L78" s="12" t="n">
        <v>18.4870285</v>
      </c>
      <c r="M78" s="12" t="n">
        <v>-69.7458112</v>
      </c>
      <c r="N78" s="7" t="n">
        <v>73</v>
      </c>
      <c r="O78" s="7" t="s">
        <v>40</v>
      </c>
      <c r="P78" s="8"/>
      <c r="Q78" s="13" t="s">
        <v>25</v>
      </c>
    </row>
    <row r="79" customFormat="false" ht="15" hidden="false" customHeight="false" outlineLevel="0" collapsed="false">
      <c r="A79" s="14" t="s">
        <v>145</v>
      </c>
      <c r="B79" s="14" t="s">
        <v>38</v>
      </c>
      <c r="C79" s="14" t="s">
        <v>6</v>
      </c>
      <c r="D79" s="15" t="s">
        <v>130</v>
      </c>
      <c r="E79" s="14"/>
      <c r="F79" s="15"/>
      <c r="G79" s="14" t="s">
        <v>146</v>
      </c>
      <c r="H79" s="16" t="n">
        <v>5.4</v>
      </c>
      <c r="I79" s="17" t="n">
        <v>33.161</v>
      </c>
      <c r="J79" s="18" t="n">
        <v>421277.429</v>
      </c>
      <c r="K79" s="18" t="n">
        <v>2044287.711</v>
      </c>
      <c r="L79" s="19" t="n">
        <v>18.4875294</v>
      </c>
      <c r="M79" s="19" t="n">
        <v>-69.7456886</v>
      </c>
      <c r="N79" s="14" t="n">
        <v>74</v>
      </c>
      <c r="O79" s="14" t="s">
        <v>40</v>
      </c>
      <c r="P79" s="15"/>
      <c r="Q79" s="20" t="s">
        <v>25</v>
      </c>
    </row>
    <row r="80" customFormat="false" ht="15" hidden="false" customHeight="false" outlineLevel="0" collapsed="false">
      <c r="A80" s="7" t="s">
        <v>147</v>
      </c>
      <c r="B80" s="7" t="s">
        <v>38</v>
      </c>
      <c r="C80" s="7" t="s">
        <v>6</v>
      </c>
      <c r="D80" s="8" t="s">
        <v>130</v>
      </c>
      <c r="E80" s="7"/>
      <c r="F80" s="8"/>
      <c r="G80" s="7" t="s">
        <v>148</v>
      </c>
      <c r="H80" s="9" t="n">
        <v>2.3</v>
      </c>
      <c r="I80" s="10" t="n">
        <v>33.242</v>
      </c>
      <c r="J80" s="11" t="n">
        <v>421261.567</v>
      </c>
      <c r="K80" s="11" t="n">
        <v>2044288.62</v>
      </c>
      <c r="L80" s="12" t="n">
        <v>18.487537</v>
      </c>
      <c r="M80" s="12" t="n">
        <v>-69.7458389</v>
      </c>
      <c r="N80" s="7" t="n">
        <v>75</v>
      </c>
      <c r="O80" s="7" t="s">
        <v>40</v>
      </c>
      <c r="P80" s="8"/>
      <c r="Q80" s="13" t="s">
        <v>25</v>
      </c>
    </row>
    <row r="81" customFormat="false" ht="15" hidden="false" customHeight="false" outlineLevel="0" collapsed="false">
      <c r="A81" s="14" t="s">
        <v>149</v>
      </c>
      <c r="B81" s="14" t="s">
        <v>38</v>
      </c>
      <c r="C81" s="14" t="s">
        <v>6</v>
      </c>
      <c r="D81" s="15" t="s">
        <v>150</v>
      </c>
      <c r="E81" s="14"/>
      <c r="F81" s="15"/>
      <c r="G81" s="14" t="s">
        <v>151</v>
      </c>
      <c r="H81" s="16" t="n">
        <v>10</v>
      </c>
      <c r="I81" s="17" t="n">
        <v>34.168</v>
      </c>
      <c r="J81" s="18" t="n">
        <v>421280.661</v>
      </c>
      <c r="K81" s="18" t="n">
        <v>2044405.539</v>
      </c>
      <c r="L81" s="19" t="n">
        <v>18.4885943</v>
      </c>
      <c r="M81" s="19" t="n">
        <v>-69.7456626</v>
      </c>
      <c r="N81" s="14" t="n">
        <v>76</v>
      </c>
      <c r="O81" s="14" t="s">
        <v>40</v>
      </c>
      <c r="P81" s="15"/>
      <c r="Q81" s="20" t="s">
        <v>25</v>
      </c>
    </row>
    <row r="82" customFormat="false" ht="15" hidden="false" customHeight="false" outlineLevel="0" collapsed="false">
      <c r="A82" s="7" t="s">
        <v>152</v>
      </c>
      <c r="B82" s="7" t="s">
        <v>38</v>
      </c>
      <c r="C82" s="7" t="s">
        <v>6</v>
      </c>
      <c r="D82" s="8" t="s">
        <v>150</v>
      </c>
      <c r="E82" s="7"/>
      <c r="F82" s="8"/>
      <c r="G82" s="7" t="s">
        <v>45</v>
      </c>
      <c r="H82" s="9" t="n">
        <v>18.4</v>
      </c>
      <c r="I82" s="10" t="n">
        <v>34.116</v>
      </c>
      <c r="J82" s="11" t="n">
        <v>421285.668</v>
      </c>
      <c r="K82" s="11" t="n">
        <v>2044420.282</v>
      </c>
      <c r="L82" s="12" t="n">
        <v>18.4887278</v>
      </c>
      <c r="M82" s="12" t="n">
        <v>-69.7456158</v>
      </c>
      <c r="N82" s="7" t="n">
        <v>77</v>
      </c>
      <c r="O82" s="7" t="s">
        <v>40</v>
      </c>
      <c r="P82" s="8"/>
      <c r="Q82" s="13" t="s">
        <v>25</v>
      </c>
    </row>
    <row r="83" customFormat="false" ht="15" hidden="false" customHeight="false" outlineLevel="0" collapsed="false">
      <c r="A83" s="14" t="s">
        <v>153</v>
      </c>
      <c r="B83" s="14" t="s">
        <v>38</v>
      </c>
      <c r="C83" s="14" t="s">
        <v>6</v>
      </c>
      <c r="D83" s="15" t="s">
        <v>150</v>
      </c>
      <c r="E83" s="14"/>
      <c r="F83" s="15"/>
      <c r="G83" s="14" t="s">
        <v>45</v>
      </c>
      <c r="H83" s="16" t="n">
        <v>4.9</v>
      </c>
      <c r="I83" s="17" t="n">
        <v>34.04</v>
      </c>
      <c r="J83" s="18" t="n">
        <v>421270.603</v>
      </c>
      <c r="K83" s="18" t="n">
        <v>2044442.479</v>
      </c>
      <c r="L83" s="19" t="n">
        <v>18.4889278</v>
      </c>
      <c r="M83" s="19" t="n">
        <v>-69.7457594</v>
      </c>
      <c r="N83" s="14" t="n">
        <v>78</v>
      </c>
      <c r="O83" s="14" t="s">
        <v>40</v>
      </c>
      <c r="P83" s="15"/>
      <c r="Q83" s="20" t="s">
        <v>25</v>
      </c>
    </row>
    <row r="84" customFormat="false" ht="15" hidden="false" customHeight="false" outlineLevel="0" collapsed="false">
      <c r="A84" s="7" t="s">
        <v>154</v>
      </c>
      <c r="B84" s="7" t="s">
        <v>38</v>
      </c>
      <c r="C84" s="7" t="s">
        <v>6</v>
      </c>
      <c r="D84" s="8" t="s">
        <v>130</v>
      </c>
      <c r="E84" s="7"/>
      <c r="F84" s="8"/>
      <c r="G84" s="7" t="s">
        <v>45</v>
      </c>
      <c r="H84" s="9" t="n">
        <v>3.9</v>
      </c>
      <c r="I84" s="10" t="n">
        <v>34.307</v>
      </c>
      <c r="J84" s="11" t="n">
        <v>421265.931</v>
      </c>
      <c r="K84" s="11" t="n">
        <v>2044531.874</v>
      </c>
      <c r="L84" s="12" t="n">
        <v>18.4897355</v>
      </c>
      <c r="M84" s="12" t="n">
        <v>-69.7458071</v>
      </c>
      <c r="N84" s="7" t="n">
        <v>79</v>
      </c>
      <c r="O84" s="7" t="s">
        <v>40</v>
      </c>
      <c r="P84" s="8"/>
      <c r="Q84" s="13" t="s">
        <v>25</v>
      </c>
    </row>
    <row r="85" customFormat="false" ht="15" hidden="false" customHeight="false" outlineLevel="0" collapsed="false">
      <c r="A85" s="14" t="s">
        <v>155</v>
      </c>
      <c r="B85" s="14" t="s">
        <v>21</v>
      </c>
      <c r="C85" s="14" t="s">
        <v>6</v>
      </c>
      <c r="D85" s="15" t="s">
        <v>130</v>
      </c>
      <c r="E85" s="14"/>
      <c r="F85" s="15"/>
      <c r="G85" s="14" t="s">
        <v>45</v>
      </c>
      <c r="H85" s="16" t="n">
        <v>3.9</v>
      </c>
      <c r="I85" s="17" t="n">
        <v>33.971</v>
      </c>
      <c r="J85" s="18" t="n">
        <v>421263.41</v>
      </c>
      <c r="K85" s="18" t="n">
        <v>2044584.204</v>
      </c>
      <c r="L85" s="19" t="n">
        <v>18.4902084</v>
      </c>
      <c r="M85" s="19" t="n">
        <v>-69.745833</v>
      </c>
      <c r="N85" s="14" t="n">
        <v>80</v>
      </c>
      <c r="O85" s="14" t="s">
        <v>24</v>
      </c>
      <c r="P85" s="15"/>
      <c r="Q85" s="20" t="s">
        <v>25</v>
      </c>
    </row>
    <row r="86" customFormat="false" ht="15" hidden="false" customHeight="false" outlineLevel="0" collapsed="false">
      <c r="A86" s="7" t="s">
        <v>156</v>
      </c>
      <c r="B86" s="7" t="s">
        <v>21</v>
      </c>
      <c r="C86" s="7" t="s">
        <v>6</v>
      </c>
      <c r="D86" s="8" t="s">
        <v>130</v>
      </c>
      <c r="E86" s="7"/>
      <c r="F86" s="8"/>
      <c r="G86" s="7" t="s">
        <v>157</v>
      </c>
      <c r="H86" s="9" t="n">
        <v>5.2</v>
      </c>
      <c r="I86" s="10" t="n">
        <v>40.418</v>
      </c>
      <c r="J86" s="11" t="n">
        <v>421250.437</v>
      </c>
      <c r="K86" s="11" t="n">
        <v>2044585.79</v>
      </c>
      <c r="L86" s="12" t="n">
        <v>18.4902222</v>
      </c>
      <c r="M86" s="12" t="n">
        <v>-69.745956</v>
      </c>
      <c r="N86" s="7" t="n">
        <v>81</v>
      </c>
      <c r="O86" s="7" t="s">
        <v>24</v>
      </c>
      <c r="P86" s="8"/>
      <c r="Q86" s="13" t="s">
        <v>25</v>
      </c>
    </row>
    <row r="87" customFormat="false" ht="15" hidden="false" customHeight="false" outlineLevel="0" collapsed="false">
      <c r="A87" s="14" t="s">
        <v>158</v>
      </c>
      <c r="B87" s="14" t="s">
        <v>38</v>
      </c>
      <c r="C87" s="14" t="s">
        <v>6</v>
      </c>
      <c r="D87" s="15" t="s">
        <v>130</v>
      </c>
      <c r="E87" s="14"/>
      <c r="F87" s="15"/>
      <c r="G87" s="14" t="s">
        <v>159</v>
      </c>
      <c r="H87" s="16" t="n">
        <v>3.9</v>
      </c>
      <c r="I87" s="17" t="n">
        <v>34.26</v>
      </c>
      <c r="J87" s="18" t="n">
        <v>421261.822</v>
      </c>
      <c r="K87" s="18" t="n">
        <v>2044617.913</v>
      </c>
      <c r="L87" s="19" t="n">
        <v>18.4905129</v>
      </c>
      <c r="M87" s="19" t="n">
        <v>-69.7458494</v>
      </c>
      <c r="N87" s="14" t="n">
        <v>82</v>
      </c>
      <c r="O87" s="14" t="s">
        <v>40</v>
      </c>
      <c r="P87" s="15"/>
      <c r="Q87" s="20" t="s">
        <v>25</v>
      </c>
    </row>
    <row r="88" customFormat="false" ht="15" hidden="false" customHeight="false" outlineLevel="0" collapsed="false">
      <c r="A88" s="7" t="s">
        <v>160</v>
      </c>
      <c r="B88" s="7" t="s">
        <v>38</v>
      </c>
      <c r="C88" s="7" t="s">
        <v>6</v>
      </c>
      <c r="D88" s="8" t="s">
        <v>130</v>
      </c>
      <c r="E88" s="7"/>
      <c r="F88" s="8"/>
      <c r="G88" s="7" t="s">
        <v>161</v>
      </c>
      <c r="H88" s="9" t="n">
        <v>2.2</v>
      </c>
      <c r="I88" s="10" t="n">
        <v>34.376</v>
      </c>
      <c r="J88" s="11" t="n">
        <v>421245.006</v>
      </c>
      <c r="K88" s="11" t="n">
        <v>2044636.602</v>
      </c>
      <c r="L88" s="12" t="n">
        <v>18.4906812</v>
      </c>
      <c r="M88" s="12" t="n">
        <v>-69.7460094</v>
      </c>
      <c r="N88" s="7" t="n">
        <v>83</v>
      </c>
      <c r="O88" s="7" t="s">
        <v>40</v>
      </c>
      <c r="P88" s="8"/>
      <c r="Q88" s="13" t="s">
        <v>25</v>
      </c>
    </row>
    <row r="89" customFormat="false" ht="15" hidden="false" customHeight="false" outlineLevel="0" collapsed="false">
      <c r="A89" s="14" t="s">
        <v>162</v>
      </c>
      <c r="B89" s="14" t="s">
        <v>38</v>
      </c>
      <c r="C89" s="14" t="s">
        <v>6</v>
      </c>
      <c r="D89" s="15" t="s">
        <v>130</v>
      </c>
      <c r="E89" s="14"/>
      <c r="F89" s="15"/>
      <c r="G89" s="14" t="s">
        <v>163</v>
      </c>
      <c r="H89" s="16" t="n">
        <v>3.8</v>
      </c>
      <c r="I89" s="17" t="n">
        <v>34.985</v>
      </c>
      <c r="J89" s="18" t="n">
        <v>421257.859</v>
      </c>
      <c r="K89" s="18" t="n">
        <v>2044703.062</v>
      </c>
      <c r="L89" s="19" t="n">
        <v>18.4912823</v>
      </c>
      <c r="M89" s="19" t="n">
        <v>-69.7458903</v>
      </c>
      <c r="N89" s="14" t="n">
        <v>84</v>
      </c>
      <c r="O89" s="14" t="s">
        <v>40</v>
      </c>
      <c r="P89" s="15"/>
      <c r="Q89" s="20" t="s">
        <v>25</v>
      </c>
    </row>
    <row r="90" customFormat="false" ht="15" hidden="false" customHeight="false" outlineLevel="0" collapsed="false">
      <c r="A90" s="7" t="s">
        <v>164</v>
      </c>
      <c r="B90" s="7" t="s">
        <v>38</v>
      </c>
      <c r="C90" s="7" t="s">
        <v>6</v>
      </c>
      <c r="D90" s="8" t="s">
        <v>130</v>
      </c>
      <c r="E90" s="7"/>
      <c r="F90" s="8"/>
      <c r="G90" s="7" t="s">
        <v>165</v>
      </c>
      <c r="H90" s="9" t="n">
        <v>3.9</v>
      </c>
      <c r="I90" s="10" t="n">
        <v>34.343</v>
      </c>
      <c r="J90" s="11" t="n">
        <v>421255.261</v>
      </c>
      <c r="K90" s="11" t="n">
        <v>2044757.449</v>
      </c>
      <c r="L90" s="12" t="n">
        <v>18.4917737</v>
      </c>
      <c r="M90" s="12" t="n">
        <v>-69.745917</v>
      </c>
      <c r="N90" s="7" t="n">
        <v>85</v>
      </c>
      <c r="O90" s="7" t="s">
        <v>40</v>
      </c>
      <c r="P90" s="8"/>
      <c r="Q90" s="13" t="s">
        <v>25</v>
      </c>
    </row>
    <row r="91" customFormat="false" ht="15" hidden="false" customHeight="false" outlineLevel="0" collapsed="false">
      <c r="A91" s="14" t="s">
        <v>166</v>
      </c>
      <c r="B91" s="14" t="s">
        <v>38</v>
      </c>
      <c r="C91" s="14" t="s">
        <v>6</v>
      </c>
      <c r="D91" s="15" t="s">
        <v>130</v>
      </c>
      <c r="E91" s="14"/>
      <c r="F91" s="15"/>
      <c r="G91" s="14" t="s">
        <v>167</v>
      </c>
      <c r="H91" s="16" t="n">
        <v>2.3</v>
      </c>
      <c r="I91" s="17" t="n">
        <v>33.43</v>
      </c>
      <c r="J91" s="18" t="n">
        <v>421237.294</v>
      </c>
      <c r="K91" s="18" t="n">
        <v>2044802.296</v>
      </c>
      <c r="L91" s="19" t="n">
        <v>18.4921784</v>
      </c>
      <c r="M91" s="19" t="n">
        <v>-69.7460889</v>
      </c>
      <c r="N91" s="14" t="n">
        <v>86</v>
      </c>
      <c r="O91" s="14" t="s">
        <v>40</v>
      </c>
      <c r="P91" s="15"/>
      <c r="Q91" s="20" t="s">
        <v>25</v>
      </c>
    </row>
    <row r="92" customFormat="false" ht="15" hidden="false" customHeight="false" outlineLevel="0" collapsed="false">
      <c r="A92" s="7" t="s">
        <v>168</v>
      </c>
      <c r="B92" s="7" t="s">
        <v>38</v>
      </c>
      <c r="C92" s="7" t="s">
        <v>6</v>
      </c>
      <c r="D92" s="8" t="s">
        <v>112</v>
      </c>
      <c r="E92" s="7"/>
      <c r="F92" s="8"/>
      <c r="G92" s="7" t="s">
        <v>167</v>
      </c>
      <c r="H92" s="9" t="n">
        <v>7.1</v>
      </c>
      <c r="I92" s="10" t="n">
        <v>32.963</v>
      </c>
      <c r="J92" s="11" t="n">
        <v>421230.722</v>
      </c>
      <c r="K92" s="11" t="n">
        <v>2044845.95</v>
      </c>
      <c r="L92" s="12" t="n">
        <v>18.4925726</v>
      </c>
      <c r="M92" s="12" t="n">
        <v>-69.7461529</v>
      </c>
      <c r="N92" s="7" t="n">
        <v>87</v>
      </c>
      <c r="O92" s="7" t="s">
        <v>40</v>
      </c>
      <c r="P92" s="8"/>
      <c r="Q92" s="13" t="s">
        <v>25</v>
      </c>
    </row>
    <row r="93" customFormat="false" ht="15" hidden="false" customHeight="false" outlineLevel="0" collapsed="false">
      <c r="A93" s="14" t="s">
        <v>169</v>
      </c>
      <c r="B93" s="14" t="s">
        <v>38</v>
      </c>
      <c r="C93" s="14" t="s">
        <v>6</v>
      </c>
      <c r="D93" s="15" t="s">
        <v>112</v>
      </c>
      <c r="E93" s="14"/>
      <c r="F93" s="15"/>
      <c r="G93" s="14" t="s">
        <v>165</v>
      </c>
      <c r="H93" s="16" t="n">
        <v>8</v>
      </c>
      <c r="I93" s="17" t="n">
        <v>32.946</v>
      </c>
      <c r="J93" s="18" t="n">
        <v>421263.637</v>
      </c>
      <c r="K93" s="18" t="n">
        <v>2044851.182</v>
      </c>
      <c r="L93" s="19" t="n">
        <v>18.4926212</v>
      </c>
      <c r="M93" s="19" t="n">
        <v>-69.7458413</v>
      </c>
      <c r="N93" s="14" t="n">
        <v>88</v>
      </c>
      <c r="O93" s="14" t="s">
        <v>40</v>
      </c>
      <c r="P93" s="15"/>
      <c r="Q93" s="20" t="s">
        <v>25</v>
      </c>
    </row>
    <row r="94" customFormat="false" ht="15" hidden="false" customHeight="false" outlineLevel="0" collapsed="false">
      <c r="A94" s="7" t="s">
        <v>170</v>
      </c>
      <c r="B94" s="7" t="s">
        <v>38</v>
      </c>
      <c r="C94" s="7" t="s">
        <v>6</v>
      </c>
      <c r="D94" s="8" t="s">
        <v>112</v>
      </c>
      <c r="E94" s="7"/>
      <c r="F94" s="8"/>
      <c r="G94" s="7" t="s">
        <v>171</v>
      </c>
      <c r="H94" s="9" t="n">
        <v>15.5</v>
      </c>
      <c r="I94" s="10" t="n">
        <v>32.957</v>
      </c>
      <c r="J94" s="11" t="n">
        <v>421260.972</v>
      </c>
      <c r="K94" s="11" t="n">
        <v>2044860.552</v>
      </c>
      <c r="L94" s="12" t="n">
        <v>18.4927057</v>
      </c>
      <c r="M94" s="12" t="n">
        <v>-69.7458669</v>
      </c>
      <c r="N94" s="7" t="n">
        <v>89</v>
      </c>
      <c r="O94" s="7" t="s">
        <v>40</v>
      </c>
      <c r="P94" s="8"/>
      <c r="Q94" s="13" t="s">
        <v>25</v>
      </c>
    </row>
    <row r="95" customFormat="false" ht="15" hidden="false" customHeight="false" outlineLevel="0" collapsed="false">
      <c r="A95" s="14" t="s">
        <v>172</v>
      </c>
      <c r="B95" s="14" t="s">
        <v>38</v>
      </c>
      <c r="C95" s="14" t="s">
        <v>6</v>
      </c>
      <c r="D95" s="15" t="s">
        <v>112</v>
      </c>
      <c r="E95" s="14"/>
      <c r="F95" s="15"/>
      <c r="G95" s="14" t="s">
        <v>165</v>
      </c>
      <c r="H95" s="16" t="n">
        <v>7.7</v>
      </c>
      <c r="I95" s="17" t="n">
        <v>33.275</v>
      </c>
      <c r="J95" s="18" t="n">
        <v>421308.905</v>
      </c>
      <c r="K95" s="18" t="n">
        <v>2044853.054</v>
      </c>
      <c r="L95" s="19" t="n">
        <v>18.4926398</v>
      </c>
      <c r="M95" s="19" t="n">
        <v>-69.7454126</v>
      </c>
      <c r="N95" s="14" t="n">
        <v>90</v>
      </c>
      <c r="O95" s="14" t="s">
        <v>40</v>
      </c>
      <c r="P95" s="15"/>
      <c r="Q95" s="20" t="s">
        <v>25</v>
      </c>
    </row>
    <row r="96" customFormat="false" ht="15" hidden="false" customHeight="false" outlineLevel="0" collapsed="false">
      <c r="A96" s="7" t="s">
        <v>173</v>
      </c>
      <c r="B96" s="7" t="s">
        <v>38</v>
      </c>
      <c r="C96" s="7" t="s">
        <v>6</v>
      </c>
      <c r="D96" s="8" t="s">
        <v>112</v>
      </c>
      <c r="E96" s="7"/>
      <c r="F96" s="8"/>
      <c r="G96" s="7" t="s">
        <v>45</v>
      </c>
      <c r="H96" s="9" t="n">
        <v>7.7</v>
      </c>
      <c r="I96" s="10" t="n">
        <v>33.529</v>
      </c>
      <c r="J96" s="11" t="n">
        <v>421372.633</v>
      </c>
      <c r="K96" s="11" t="n">
        <v>2044856.038</v>
      </c>
      <c r="L96" s="12" t="n">
        <v>18.4926691</v>
      </c>
      <c r="M96" s="12" t="n">
        <v>-69.7448091</v>
      </c>
      <c r="N96" s="7" t="n">
        <v>91</v>
      </c>
      <c r="O96" s="7" t="s">
        <v>40</v>
      </c>
      <c r="P96" s="8"/>
      <c r="Q96" s="13" t="s">
        <v>25</v>
      </c>
    </row>
    <row r="97" customFormat="false" ht="15" hidden="false" customHeight="false" outlineLevel="0" collapsed="false">
      <c r="A97" s="14" t="s">
        <v>174</v>
      </c>
      <c r="B97" s="14" t="s">
        <v>38</v>
      </c>
      <c r="C97" s="14" t="s">
        <v>6</v>
      </c>
      <c r="D97" s="15" t="s">
        <v>112</v>
      </c>
      <c r="E97" s="14"/>
      <c r="F97" s="15"/>
      <c r="G97" s="14" t="s">
        <v>45</v>
      </c>
      <c r="H97" s="16" t="n">
        <v>7.8</v>
      </c>
      <c r="I97" s="17" t="n">
        <v>33.972</v>
      </c>
      <c r="J97" s="18" t="n">
        <v>421432.735</v>
      </c>
      <c r="K97" s="18" t="n">
        <v>2044858.904</v>
      </c>
      <c r="L97" s="19" t="n">
        <v>18.4926972</v>
      </c>
      <c r="M97" s="19" t="n">
        <v>-69.7442399</v>
      </c>
      <c r="N97" s="14" t="n">
        <v>92</v>
      </c>
      <c r="O97" s="14" t="s">
        <v>40</v>
      </c>
      <c r="P97" s="15"/>
      <c r="Q97" s="20" t="s">
        <v>25</v>
      </c>
    </row>
    <row r="98" customFormat="false" ht="15" hidden="false" customHeight="false" outlineLevel="0" collapsed="false">
      <c r="A98" s="7" t="s">
        <v>175</v>
      </c>
      <c r="B98" s="7" t="s">
        <v>38</v>
      </c>
      <c r="C98" s="7" t="s">
        <v>6</v>
      </c>
      <c r="D98" s="8" t="s">
        <v>35</v>
      </c>
      <c r="E98" s="7"/>
      <c r="F98" s="8"/>
      <c r="G98" s="7" t="s">
        <v>45</v>
      </c>
      <c r="H98" s="9" t="n">
        <v>24.7</v>
      </c>
      <c r="I98" s="10" t="n">
        <v>34.427</v>
      </c>
      <c r="J98" s="11" t="n">
        <v>421539.835</v>
      </c>
      <c r="K98" s="11" t="n">
        <v>2044873.985</v>
      </c>
      <c r="L98" s="12" t="n">
        <v>18.4928375</v>
      </c>
      <c r="M98" s="12" t="n">
        <v>-69.743226</v>
      </c>
      <c r="N98" s="7" t="n">
        <v>93</v>
      </c>
      <c r="O98" s="7" t="s">
        <v>40</v>
      </c>
      <c r="P98" s="8"/>
      <c r="Q98" s="13" t="s">
        <v>25</v>
      </c>
    </row>
    <row r="99" customFormat="false" ht="15" hidden="false" customHeight="false" outlineLevel="0" collapsed="false">
      <c r="A99" s="14" t="s">
        <v>176</v>
      </c>
      <c r="B99" s="14" t="s">
        <v>38</v>
      </c>
      <c r="C99" s="14" t="s">
        <v>6</v>
      </c>
      <c r="D99" s="15" t="s">
        <v>112</v>
      </c>
      <c r="E99" s="14"/>
      <c r="F99" s="15"/>
      <c r="G99" s="14" t="s">
        <v>177</v>
      </c>
      <c r="H99" s="16" t="n">
        <v>5.3</v>
      </c>
      <c r="I99" s="17" t="n">
        <v>34.651</v>
      </c>
      <c r="J99" s="18" t="n">
        <v>421503.904</v>
      </c>
      <c r="K99" s="18" t="n">
        <v>2044882.28</v>
      </c>
      <c r="L99" s="19" t="n">
        <v>18.4929112</v>
      </c>
      <c r="M99" s="19" t="n">
        <v>-69.7435667</v>
      </c>
      <c r="N99" s="14" t="n">
        <v>94</v>
      </c>
      <c r="O99" s="14" t="s">
        <v>40</v>
      </c>
      <c r="P99" s="15"/>
      <c r="Q99" s="20" t="s">
        <v>25</v>
      </c>
    </row>
    <row r="100" customFormat="false" ht="15" hidden="false" customHeight="false" outlineLevel="0" collapsed="false">
      <c r="A100" s="7" t="s">
        <v>178</v>
      </c>
      <c r="B100" s="7" t="s">
        <v>38</v>
      </c>
      <c r="C100" s="7" t="s">
        <v>6</v>
      </c>
      <c r="D100" s="8" t="s">
        <v>112</v>
      </c>
      <c r="E100" s="7"/>
      <c r="F100" s="8"/>
      <c r="G100" s="7" t="s">
        <v>45</v>
      </c>
      <c r="H100" s="9" t="n">
        <v>7.7</v>
      </c>
      <c r="I100" s="10" t="n">
        <v>34.696</v>
      </c>
      <c r="J100" s="11" t="n">
        <v>421510.829</v>
      </c>
      <c r="K100" s="11" t="n">
        <v>2044862.425</v>
      </c>
      <c r="L100" s="12" t="n">
        <v>18.492732</v>
      </c>
      <c r="M100" s="12" t="n">
        <v>-69.7435003</v>
      </c>
      <c r="N100" s="7" t="n">
        <v>95</v>
      </c>
      <c r="O100" s="7" t="s">
        <v>40</v>
      </c>
      <c r="P100" s="8"/>
      <c r="Q100" s="13" t="s">
        <v>25</v>
      </c>
    </row>
    <row r="101" customFormat="false" ht="15" hidden="false" customHeight="false" outlineLevel="0" collapsed="false">
      <c r="A101" s="14" t="s">
        <v>179</v>
      </c>
      <c r="B101" s="14" t="s">
        <v>38</v>
      </c>
      <c r="C101" s="14" t="s">
        <v>6</v>
      </c>
      <c r="D101" s="15" t="s">
        <v>112</v>
      </c>
      <c r="E101" s="14"/>
      <c r="F101" s="15"/>
      <c r="G101" s="14" t="s">
        <v>177</v>
      </c>
      <c r="H101" s="16" t="n">
        <v>5.1</v>
      </c>
      <c r="I101" s="17" t="n">
        <v>33.858</v>
      </c>
      <c r="J101" s="18" t="n">
        <v>421431.748</v>
      </c>
      <c r="K101" s="18" t="n">
        <v>2044878.896</v>
      </c>
      <c r="L101" s="19" t="n">
        <v>18.4928779</v>
      </c>
      <c r="M101" s="19" t="n">
        <v>-69.74425</v>
      </c>
      <c r="N101" s="14" t="n">
        <v>96</v>
      </c>
      <c r="O101" s="14" t="s">
        <v>40</v>
      </c>
      <c r="P101" s="15"/>
      <c r="Q101" s="20" t="s">
        <v>25</v>
      </c>
    </row>
    <row r="102" customFormat="false" ht="15" hidden="false" customHeight="false" outlineLevel="0" collapsed="false">
      <c r="A102" s="7" t="s">
        <v>180</v>
      </c>
      <c r="B102" s="7" t="s">
        <v>38</v>
      </c>
      <c r="C102" s="7" t="s">
        <v>6</v>
      </c>
      <c r="D102" s="8" t="s">
        <v>112</v>
      </c>
      <c r="E102" s="7"/>
      <c r="F102" s="8"/>
      <c r="G102" s="7" t="s">
        <v>171</v>
      </c>
      <c r="H102" s="9" t="n">
        <v>5.7</v>
      </c>
      <c r="I102" s="10" t="n">
        <v>33.715</v>
      </c>
      <c r="J102" s="11" t="n">
        <v>421371.453</v>
      </c>
      <c r="K102" s="11" t="n">
        <v>2044876.066</v>
      </c>
      <c r="L102" s="12" t="n">
        <v>18.4928501</v>
      </c>
      <c r="M102" s="12" t="n">
        <v>-69.7448211</v>
      </c>
      <c r="N102" s="7" t="n">
        <v>97</v>
      </c>
      <c r="O102" s="7" t="s">
        <v>40</v>
      </c>
      <c r="P102" s="8"/>
      <c r="Q102" s="13" t="s">
        <v>25</v>
      </c>
    </row>
    <row r="103" customFormat="false" ht="15" hidden="false" customHeight="false" outlineLevel="0" collapsed="false">
      <c r="A103" s="14" t="s">
        <v>181</v>
      </c>
      <c r="B103" s="14" t="s">
        <v>38</v>
      </c>
      <c r="C103" s="14" t="s">
        <v>6</v>
      </c>
      <c r="D103" s="15" t="s">
        <v>112</v>
      </c>
      <c r="E103" s="14"/>
      <c r="F103" s="15"/>
      <c r="G103" s="14" t="s">
        <v>171</v>
      </c>
      <c r="H103" s="16" t="n">
        <v>5.3</v>
      </c>
      <c r="I103" s="17" t="n">
        <v>33.129</v>
      </c>
      <c r="J103" s="18" t="n">
        <v>421307.549</v>
      </c>
      <c r="K103" s="18" t="n">
        <v>2044873.162</v>
      </c>
      <c r="L103" s="19" t="n">
        <v>18.4928214</v>
      </c>
      <c r="M103" s="19" t="n">
        <v>-69.7454262</v>
      </c>
      <c r="N103" s="14" t="n">
        <v>98</v>
      </c>
      <c r="O103" s="14" t="s">
        <v>40</v>
      </c>
      <c r="P103" s="15"/>
      <c r="Q103" s="20" t="s">
        <v>25</v>
      </c>
    </row>
    <row r="104" customFormat="false" ht="15" hidden="false" customHeight="false" outlineLevel="0" collapsed="false">
      <c r="A104" s="7" t="s">
        <v>182</v>
      </c>
      <c r="B104" s="7" t="s">
        <v>38</v>
      </c>
      <c r="C104" s="7" t="s">
        <v>6</v>
      </c>
      <c r="D104" s="8" t="s">
        <v>112</v>
      </c>
      <c r="E104" s="7"/>
      <c r="F104" s="8"/>
      <c r="G104" s="7" t="s">
        <v>171</v>
      </c>
      <c r="H104" s="9" t="n">
        <v>5</v>
      </c>
      <c r="I104" s="10" t="n">
        <v>32.809</v>
      </c>
      <c r="J104" s="11" t="n">
        <v>421262.058</v>
      </c>
      <c r="K104" s="11" t="n">
        <v>2044871.063</v>
      </c>
      <c r="L104" s="12" t="n">
        <v>18.4928008</v>
      </c>
      <c r="M104" s="12" t="n">
        <v>-69.7458571</v>
      </c>
      <c r="N104" s="7" t="n">
        <v>99</v>
      </c>
      <c r="O104" s="7" t="s">
        <v>40</v>
      </c>
      <c r="P104" s="8"/>
      <c r="Q104" s="13" t="s">
        <v>25</v>
      </c>
    </row>
    <row r="105" customFormat="false" ht="15" hidden="false" customHeight="false" outlineLevel="0" collapsed="false">
      <c r="A105" s="14" t="s">
        <v>183</v>
      </c>
      <c r="B105" s="14" t="s">
        <v>38</v>
      </c>
      <c r="C105" s="14" t="s">
        <v>6</v>
      </c>
      <c r="D105" s="15" t="s">
        <v>112</v>
      </c>
      <c r="E105" s="14"/>
      <c r="F105" s="15"/>
      <c r="G105" s="14" t="s">
        <v>184</v>
      </c>
      <c r="H105" s="16" t="n">
        <v>3.4</v>
      </c>
      <c r="I105" s="17" t="n">
        <v>33.152</v>
      </c>
      <c r="J105" s="18" t="n">
        <v>421226.219</v>
      </c>
      <c r="K105" s="18" t="n">
        <v>2044869.226</v>
      </c>
      <c r="L105" s="19" t="n">
        <v>18.4927828</v>
      </c>
      <c r="M105" s="19" t="n">
        <v>-69.7461964</v>
      </c>
      <c r="N105" s="14" t="n">
        <v>100</v>
      </c>
      <c r="O105" s="14" t="s">
        <v>40</v>
      </c>
      <c r="P105" s="15"/>
      <c r="Q105" s="20" t="s">
        <v>25</v>
      </c>
    </row>
    <row r="106" customFormat="false" ht="15" hidden="false" customHeight="false" outlineLevel="0" collapsed="false">
      <c r="A106" s="7" t="s">
        <v>185</v>
      </c>
      <c r="B106" s="7" t="s">
        <v>38</v>
      </c>
      <c r="C106" s="7" t="s">
        <v>6</v>
      </c>
      <c r="D106" s="8" t="s">
        <v>112</v>
      </c>
      <c r="E106" s="7"/>
      <c r="F106" s="8"/>
      <c r="G106" s="7" t="s">
        <v>184</v>
      </c>
      <c r="H106" s="9" t="n">
        <v>13.3</v>
      </c>
      <c r="I106" s="10" t="n">
        <v>33.083</v>
      </c>
      <c r="J106" s="11" t="n">
        <v>421220.662</v>
      </c>
      <c r="K106" s="11" t="n">
        <v>2044858.987</v>
      </c>
      <c r="L106" s="12" t="n">
        <v>18.4926901</v>
      </c>
      <c r="M106" s="12" t="n">
        <v>-69.7462487</v>
      </c>
      <c r="N106" s="7" t="n">
        <v>101</v>
      </c>
      <c r="O106" s="7" t="s">
        <v>40</v>
      </c>
      <c r="P106" s="8"/>
      <c r="Q106" s="13" t="s">
        <v>25</v>
      </c>
    </row>
    <row r="107" customFormat="false" ht="15" hidden="false" customHeight="false" outlineLevel="0" collapsed="false">
      <c r="A107" s="14" t="s">
        <v>186</v>
      </c>
      <c r="B107" s="14" t="s">
        <v>38</v>
      </c>
      <c r="C107" s="14" t="s">
        <v>6</v>
      </c>
      <c r="D107" s="15" t="s">
        <v>112</v>
      </c>
      <c r="E107" s="14"/>
      <c r="F107" s="15"/>
      <c r="G107" s="14" t="s">
        <v>184</v>
      </c>
      <c r="H107" s="16" t="n">
        <v>3.3</v>
      </c>
      <c r="I107" s="17" t="n">
        <v>33.635</v>
      </c>
      <c r="J107" s="18" t="n">
        <v>421160.836</v>
      </c>
      <c r="K107" s="18" t="n">
        <v>2044866.26</v>
      </c>
      <c r="L107" s="19" t="n">
        <v>18.4927536</v>
      </c>
      <c r="M107" s="19" t="n">
        <v>-69.7468156</v>
      </c>
      <c r="N107" s="14" t="n">
        <v>102</v>
      </c>
      <c r="O107" s="14" t="s">
        <v>40</v>
      </c>
      <c r="P107" s="15"/>
      <c r="Q107" s="20" t="s">
        <v>25</v>
      </c>
    </row>
    <row r="108" customFormat="false" ht="15" hidden="false" customHeight="false" outlineLevel="0" collapsed="false">
      <c r="A108" s="7" t="s">
        <v>187</v>
      </c>
      <c r="B108" s="7" t="s">
        <v>21</v>
      </c>
      <c r="C108" s="7" t="s">
        <v>6</v>
      </c>
      <c r="D108" s="8" t="s">
        <v>112</v>
      </c>
      <c r="E108" s="7"/>
      <c r="F108" s="8"/>
      <c r="G108" s="7" t="s">
        <v>188</v>
      </c>
      <c r="H108" s="9" t="n">
        <v>6.1</v>
      </c>
      <c r="I108" s="10" t="n">
        <v>33.581</v>
      </c>
      <c r="J108" s="11" t="n">
        <v>421037.21</v>
      </c>
      <c r="K108" s="11" t="n">
        <v>2044860.559</v>
      </c>
      <c r="L108" s="12" t="n">
        <v>18.4926974</v>
      </c>
      <c r="M108" s="12" t="n">
        <v>-69.7479864</v>
      </c>
      <c r="N108" s="7" t="n">
        <v>103</v>
      </c>
      <c r="O108" s="7" t="s">
        <v>24</v>
      </c>
      <c r="P108" s="8"/>
      <c r="Q108" s="13" t="s">
        <v>25</v>
      </c>
    </row>
    <row r="109" customFormat="false" ht="15" hidden="false" customHeight="false" outlineLevel="0" collapsed="false">
      <c r="A109" s="14" t="s">
        <v>189</v>
      </c>
      <c r="B109" s="14" t="s">
        <v>21</v>
      </c>
      <c r="C109" s="14" t="s">
        <v>6</v>
      </c>
      <c r="D109" s="15" t="s">
        <v>112</v>
      </c>
      <c r="E109" s="14"/>
      <c r="F109" s="15"/>
      <c r="G109" s="14" t="s">
        <v>190</v>
      </c>
      <c r="H109" s="16" t="n">
        <v>5.2</v>
      </c>
      <c r="I109" s="17" t="n">
        <v>33.473</v>
      </c>
      <c r="J109" s="18" t="n">
        <v>421038.08</v>
      </c>
      <c r="K109" s="18" t="n">
        <v>2044840.483</v>
      </c>
      <c r="L109" s="19" t="n">
        <v>18.492516</v>
      </c>
      <c r="M109" s="19" t="n">
        <v>-69.7479774</v>
      </c>
      <c r="N109" s="14" t="n">
        <v>104</v>
      </c>
      <c r="O109" s="14" t="s">
        <v>24</v>
      </c>
      <c r="P109" s="15"/>
      <c r="Q109" s="20" t="s">
        <v>25</v>
      </c>
    </row>
    <row r="110" customFormat="false" ht="15" hidden="false" customHeight="false" outlineLevel="0" collapsed="false">
      <c r="A110" s="7" t="s">
        <v>191</v>
      </c>
      <c r="B110" s="7" t="s">
        <v>38</v>
      </c>
      <c r="C110" s="7" t="s">
        <v>6</v>
      </c>
      <c r="D110" s="8" t="s">
        <v>192</v>
      </c>
      <c r="E110" s="7"/>
      <c r="F110" s="8"/>
      <c r="G110" s="7" t="s">
        <v>188</v>
      </c>
      <c r="H110" s="9" t="n">
        <v>5.9</v>
      </c>
      <c r="I110" s="10" t="n">
        <v>33.55</v>
      </c>
      <c r="J110" s="11" t="n">
        <v>420891.431</v>
      </c>
      <c r="K110" s="11" t="n">
        <v>2044861.809</v>
      </c>
      <c r="L110" s="12" t="n">
        <v>18.4927033</v>
      </c>
      <c r="M110" s="12" t="n">
        <v>-69.7493673</v>
      </c>
      <c r="N110" s="7" t="n">
        <v>105</v>
      </c>
      <c r="O110" s="7" t="s">
        <v>40</v>
      </c>
      <c r="P110" s="8"/>
      <c r="Q110" s="13" t="s">
        <v>25</v>
      </c>
    </row>
    <row r="111" customFormat="false" ht="15" hidden="false" customHeight="false" outlineLevel="0" collapsed="false">
      <c r="A111" s="14" t="s">
        <v>193</v>
      </c>
      <c r="B111" s="14" t="s">
        <v>38</v>
      </c>
      <c r="C111" s="14" t="s">
        <v>6</v>
      </c>
      <c r="D111" s="15" t="s">
        <v>192</v>
      </c>
      <c r="E111" s="14"/>
      <c r="F111" s="15"/>
      <c r="G111" s="14" t="s">
        <v>194</v>
      </c>
      <c r="H111" s="16" t="n">
        <v>22.6</v>
      </c>
      <c r="I111" s="17" t="n">
        <v>33.494</v>
      </c>
      <c r="J111" s="18" t="n">
        <v>420876.783</v>
      </c>
      <c r="K111" s="18" t="n">
        <v>2044842.969</v>
      </c>
      <c r="L111" s="19" t="n">
        <v>18.4925325</v>
      </c>
      <c r="M111" s="19" t="n">
        <v>-69.7495053</v>
      </c>
      <c r="N111" s="14" t="n">
        <v>106</v>
      </c>
      <c r="O111" s="14" t="s">
        <v>40</v>
      </c>
      <c r="P111" s="15"/>
      <c r="Q111" s="20" t="s">
        <v>25</v>
      </c>
    </row>
    <row r="112" customFormat="false" ht="15" hidden="false" customHeight="false" outlineLevel="0" collapsed="false">
      <c r="A112" s="7" t="s">
        <v>195</v>
      </c>
      <c r="B112" s="7" t="s">
        <v>38</v>
      </c>
      <c r="C112" s="7" t="s">
        <v>6</v>
      </c>
      <c r="D112" s="8" t="s">
        <v>192</v>
      </c>
      <c r="E112" s="7"/>
      <c r="F112" s="8"/>
      <c r="G112" s="7" t="s">
        <v>194</v>
      </c>
      <c r="H112" s="9" t="n">
        <v>4.3</v>
      </c>
      <c r="I112" s="10" t="n">
        <v>33.649</v>
      </c>
      <c r="J112" s="11" t="n">
        <v>420871.48</v>
      </c>
      <c r="K112" s="11" t="n">
        <v>2044824.133</v>
      </c>
      <c r="L112" s="12" t="n">
        <v>18.492362</v>
      </c>
      <c r="M112" s="12" t="n">
        <v>-69.7495548</v>
      </c>
      <c r="N112" s="7" t="n">
        <v>107</v>
      </c>
      <c r="O112" s="7" t="s">
        <v>40</v>
      </c>
      <c r="P112" s="8"/>
      <c r="Q112" s="13" t="s">
        <v>25</v>
      </c>
    </row>
    <row r="113" customFormat="false" ht="15" hidden="false" customHeight="false" outlineLevel="0" collapsed="false">
      <c r="A113" s="14" t="s">
        <v>196</v>
      </c>
      <c r="B113" s="14" t="s">
        <v>38</v>
      </c>
      <c r="C113" s="14" t="s">
        <v>6</v>
      </c>
      <c r="D113" s="15" t="s">
        <v>192</v>
      </c>
      <c r="E113" s="14"/>
      <c r="F113" s="15"/>
      <c r="G113" s="14" t="s">
        <v>197</v>
      </c>
      <c r="H113" s="16" t="n">
        <v>4.7</v>
      </c>
      <c r="I113" s="17" t="n">
        <v>33.464</v>
      </c>
      <c r="J113" s="18" t="n">
        <v>420858.109</v>
      </c>
      <c r="K113" s="18" t="n">
        <v>2044863.749</v>
      </c>
      <c r="L113" s="19" t="n">
        <v>18.4927196</v>
      </c>
      <c r="M113" s="19" t="n">
        <v>-69.749683</v>
      </c>
      <c r="N113" s="14" t="n">
        <v>108</v>
      </c>
      <c r="O113" s="14" t="s">
        <v>40</v>
      </c>
      <c r="P113" s="15"/>
      <c r="Q113" s="20" t="s">
        <v>25</v>
      </c>
    </row>
    <row r="114" customFormat="false" ht="15" hidden="false" customHeight="false" outlineLevel="0" collapsed="false">
      <c r="A114" s="7" t="s">
        <v>198</v>
      </c>
      <c r="B114" s="7" t="s">
        <v>38</v>
      </c>
      <c r="C114" s="7" t="s">
        <v>6</v>
      </c>
      <c r="D114" s="8" t="s">
        <v>199</v>
      </c>
      <c r="E114" s="7"/>
      <c r="F114" s="8"/>
      <c r="G114" s="7" t="s">
        <v>194</v>
      </c>
      <c r="H114" s="9" t="n">
        <v>31.2</v>
      </c>
      <c r="I114" s="10" t="n">
        <v>33.436</v>
      </c>
      <c r="J114" s="11" t="n">
        <v>420740.542</v>
      </c>
      <c r="K114" s="11" t="n">
        <v>2044847.308</v>
      </c>
      <c r="L114" s="12" t="n">
        <v>18.4925666</v>
      </c>
      <c r="M114" s="12" t="n">
        <v>-69.7507959</v>
      </c>
      <c r="N114" s="7" t="n">
        <v>109</v>
      </c>
      <c r="O114" s="7" t="s">
        <v>40</v>
      </c>
      <c r="P114" s="8"/>
      <c r="Q114" s="13" t="s">
        <v>25</v>
      </c>
    </row>
    <row r="115" customFormat="false" ht="15" hidden="false" customHeight="false" outlineLevel="0" collapsed="false">
      <c r="A115" s="14" t="s">
        <v>200</v>
      </c>
      <c r="B115" s="14" t="s">
        <v>38</v>
      </c>
      <c r="C115" s="14" t="s">
        <v>6</v>
      </c>
      <c r="D115" s="15" t="s">
        <v>112</v>
      </c>
      <c r="E115" s="14"/>
      <c r="F115" s="15"/>
      <c r="G115" s="14" t="s">
        <v>201</v>
      </c>
      <c r="H115" s="16" t="n">
        <v>27.7</v>
      </c>
      <c r="I115" s="17" t="n">
        <v>33.22</v>
      </c>
      <c r="J115" s="18" t="n">
        <v>420650.979</v>
      </c>
      <c r="K115" s="18" t="n">
        <v>2044844.762</v>
      </c>
      <c r="L115" s="19" t="n">
        <v>18.4925402</v>
      </c>
      <c r="M115" s="19" t="n">
        <v>-69.7516442</v>
      </c>
      <c r="N115" s="14" t="n">
        <v>110</v>
      </c>
      <c r="O115" s="14" t="s">
        <v>40</v>
      </c>
      <c r="P115" s="15"/>
      <c r="Q115" s="20" t="s">
        <v>25</v>
      </c>
    </row>
    <row r="116" customFormat="false" ht="15" hidden="false" customHeight="false" outlineLevel="0" collapsed="false">
      <c r="A116" s="7" t="s">
        <v>202</v>
      </c>
      <c r="B116" s="7" t="s">
        <v>38</v>
      </c>
      <c r="C116" s="7" t="s">
        <v>6</v>
      </c>
      <c r="D116" s="8" t="s">
        <v>112</v>
      </c>
      <c r="E116" s="7"/>
      <c r="F116" s="8"/>
      <c r="G116" s="7" t="s">
        <v>201</v>
      </c>
      <c r="H116" s="9" t="n">
        <v>27.7</v>
      </c>
      <c r="I116" s="10" t="n">
        <v>32.996</v>
      </c>
      <c r="J116" s="11" t="n">
        <v>420591.278</v>
      </c>
      <c r="K116" s="11" t="n">
        <v>2044843.884</v>
      </c>
      <c r="L116" s="12" t="n">
        <v>18.49253</v>
      </c>
      <c r="M116" s="12" t="n">
        <v>-69.7522096</v>
      </c>
      <c r="N116" s="7" t="n">
        <v>111</v>
      </c>
      <c r="O116" s="7" t="s">
        <v>40</v>
      </c>
      <c r="P116" s="8"/>
      <c r="Q116" s="13" t="s">
        <v>25</v>
      </c>
    </row>
    <row r="117" customFormat="false" ht="15" hidden="false" customHeight="false" outlineLevel="0" collapsed="false">
      <c r="A117" s="14" t="s">
        <v>203</v>
      </c>
      <c r="B117" s="14" t="s">
        <v>38</v>
      </c>
      <c r="C117" s="14" t="s">
        <v>6</v>
      </c>
      <c r="D117" s="15" t="s">
        <v>112</v>
      </c>
      <c r="E117" s="14"/>
      <c r="F117" s="15"/>
      <c r="G117" s="14" t="s">
        <v>201</v>
      </c>
      <c r="H117" s="16" t="n">
        <v>27.7</v>
      </c>
      <c r="I117" s="17" t="n">
        <v>32.492</v>
      </c>
      <c r="J117" s="18" t="n">
        <v>420512.313</v>
      </c>
      <c r="K117" s="18" t="n">
        <v>2044842.713</v>
      </c>
      <c r="L117" s="19" t="n">
        <v>18.4925165</v>
      </c>
      <c r="M117" s="19" t="n">
        <v>-69.7529576</v>
      </c>
      <c r="N117" s="14" t="n">
        <v>112</v>
      </c>
      <c r="O117" s="14" t="s">
        <v>40</v>
      </c>
      <c r="P117" s="15"/>
      <c r="Q117" s="20" t="s">
        <v>25</v>
      </c>
    </row>
    <row r="118" customFormat="false" ht="15" hidden="false" customHeight="false" outlineLevel="0" collapsed="false">
      <c r="A118" s="7" t="s">
        <v>204</v>
      </c>
      <c r="B118" s="7" t="s">
        <v>21</v>
      </c>
      <c r="C118" s="7" t="s">
        <v>6</v>
      </c>
      <c r="D118" s="8" t="s">
        <v>112</v>
      </c>
      <c r="E118" s="7"/>
      <c r="F118" s="8"/>
      <c r="G118" s="7" t="s">
        <v>205</v>
      </c>
      <c r="H118" s="9" t="n">
        <v>27.7</v>
      </c>
      <c r="I118" s="10" t="n">
        <v>32.333</v>
      </c>
      <c r="J118" s="11" t="n">
        <v>420473.945</v>
      </c>
      <c r="K118" s="11" t="n">
        <v>2044842.117</v>
      </c>
      <c r="L118" s="12" t="n">
        <v>18.4925096</v>
      </c>
      <c r="M118" s="12" t="n">
        <v>-69.753321</v>
      </c>
      <c r="N118" s="7" t="n">
        <v>113</v>
      </c>
      <c r="O118" s="7" t="s">
        <v>24</v>
      </c>
      <c r="P118" s="8"/>
      <c r="Q118" s="13" t="s">
        <v>25</v>
      </c>
    </row>
    <row r="119" customFormat="false" ht="15" hidden="false" customHeight="false" outlineLevel="0" collapsed="false">
      <c r="A119" s="14" t="s">
        <v>206</v>
      </c>
      <c r="B119" s="14" t="s">
        <v>21</v>
      </c>
      <c r="C119" s="14" t="s">
        <v>6</v>
      </c>
      <c r="D119" s="15" t="s">
        <v>112</v>
      </c>
      <c r="E119" s="14"/>
      <c r="F119" s="15"/>
      <c r="G119" s="14" t="s">
        <v>207</v>
      </c>
      <c r="H119" s="16" t="n">
        <v>7.6</v>
      </c>
      <c r="I119" s="17" t="n">
        <v>32.307</v>
      </c>
      <c r="J119" s="18" t="n">
        <v>420472.024</v>
      </c>
      <c r="K119" s="18" t="n">
        <v>2044822.03</v>
      </c>
      <c r="L119" s="19" t="n">
        <v>18.492328</v>
      </c>
      <c r="M119" s="19" t="n">
        <v>-69.7533384</v>
      </c>
      <c r="N119" s="14" t="n">
        <v>114</v>
      </c>
      <c r="O119" s="14" t="s">
        <v>24</v>
      </c>
      <c r="P119" s="15"/>
      <c r="Q119" s="20" t="s">
        <v>25</v>
      </c>
    </row>
    <row r="120" customFormat="false" ht="15" hidden="false" customHeight="false" outlineLevel="0" collapsed="false">
      <c r="A120" s="7" t="s">
        <v>208</v>
      </c>
      <c r="B120" s="7" t="s">
        <v>38</v>
      </c>
      <c r="C120" s="7" t="s">
        <v>6</v>
      </c>
      <c r="D120" s="8" t="s">
        <v>112</v>
      </c>
      <c r="E120" s="7"/>
      <c r="F120" s="8"/>
      <c r="G120" s="7" t="s">
        <v>201</v>
      </c>
      <c r="H120" s="9" t="n">
        <v>7.8</v>
      </c>
      <c r="I120" s="10" t="n">
        <v>32.539</v>
      </c>
      <c r="J120" s="11" t="n">
        <v>420513.455</v>
      </c>
      <c r="K120" s="11" t="n">
        <v>2044822.791</v>
      </c>
      <c r="L120" s="12" t="n">
        <v>18.4923365</v>
      </c>
      <c r="M120" s="12" t="n">
        <v>-69.752946</v>
      </c>
      <c r="N120" s="7" t="n">
        <v>115</v>
      </c>
      <c r="O120" s="7" t="s">
        <v>40</v>
      </c>
      <c r="P120" s="8"/>
      <c r="Q120" s="13" t="s">
        <v>25</v>
      </c>
    </row>
    <row r="121" customFormat="false" ht="15" hidden="false" customHeight="false" outlineLevel="0" collapsed="false">
      <c r="A121" s="14" t="s">
        <v>209</v>
      </c>
      <c r="B121" s="14" t="s">
        <v>38</v>
      </c>
      <c r="C121" s="14" t="s">
        <v>6</v>
      </c>
      <c r="D121" s="15" t="s">
        <v>112</v>
      </c>
      <c r="E121" s="14"/>
      <c r="F121" s="15"/>
      <c r="G121" s="14" t="s">
        <v>201</v>
      </c>
      <c r="H121" s="16" t="n">
        <v>7.8</v>
      </c>
      <c r="I121" s="17" t="n">
        <v>32.775</v>
      </c>
      <c r="J121" s="18" t="n">
        <v>420559.503</v>
      </c>
      <c r="K121" s="18" t="n">
        <v>2044823.463</v>
      </c>
      <c r="L121" s="19" t="n">
        <v>18.4923443</v>
      </c>
      <c r="M121" s="19" t="n">
        <v>-69.7525098</v>
      </c>
      <c r="N121" s="14" t="n">
        <v>116</v>
      </c>
      <c r="O121" s="14" t="s">
        <v>40</v>
      </c>
      <c r="P121" s="15"/>
      <c r="Q121" s="20" t="s">
        <v>25</v>
      </c>
    </row>
    <row r="122" customFormat="false" ht="15" hidden="false" customHeight="false" outlineLevel="0" collapsed="false">
      <c r="A122" s="7" t="s">
        <v>210</v>
      </c>
      <c r="B122" s="7" t="s">
        <v>38</v>
      </c>
      <c r="C122" s="7" t="s">
        <v>6</v>
      </c>
      <c r="D122" s="8" t="s">
        <v>112</v>
      </c>
      <c r="E122" s="7"/>
      <c r="F122" s="8"/>
      <c r="G122" s="7" t="s">
        <v>201</v>
      </c>
      <c r="H122" s="9" t="n">
        <v>7.7</v>
      </c>
      <c r="I122" s="10" t="n">
        <v>32.973</v>
      </c>
      <c r="J122" s="11" t="n">
        <v>420610.26</v>
      </c>
      <c r="K122" s="11" t="n">
        <v>2044824.171</v>
      </c>
      <c r="L122" s="12" t="n">
        <v>18.4923526</v>
      </c>
      <c r="M122" s="12" t="n">
        <v>-69.7520291</v>
      </c>
      <c r="N122" s="7" t="n">
        <v>117</v>
      </c>
      <c r="O122" s="7" t="s">
        <v>40</v>
      </c>
      <c r="P122" s="8"/>
      <c r="Q122" s="13" t="s">
        <v>25</v>
      </c>
    </row>
    <row r="123" customFormat="false" ht="15" hidden="false" customHeight="false" outlineLevel="0" collapsed="false">
      <c r="A123" s="14" t="s">
        <v>211</v>
      </c>
      <c r="B123" s="14" t="s">
        <v>38</v>
      </c>
      <c r="C123" s="14" t="s">
        <v>6</v>
      </c>
      <c r="D123" s="15" t="s">
        <v>112</v>
      </c>
      <c r="E123" s="14"/>
      <c r="F123" s="15"/>
      <c r="G123" s="14" t="s">
        <v>212</v>
      </c>
      <c r="H123" s="16" t="n">
        <v>7.7</v>
      </c>
      <c r="I123" s="17" t="n">
        <v>33.282</v>
      </c>
      <c r="J123" s="18" t="n">
        <v>420672.679</v>
      </c>
      <c r="K123" s="18" t="n">
        <v>2044825.065</v>
      </c>
      <c r="L123" s="19" t="n">
        <v>18.492363</v>
      </c>
      <c r="M123" s="19" t="n">
        <v>-69.7514379</v>
      </c>
      <c r="N123" s="14" t="n">
        <v>118</v>
      </c>
      <c r="O123" s="14" t="s">
        <v>40</v>
      </c>
      <c r="P123" s="15"/>
      <c r="Q123" s="20" t="s">
        <v>25</v>
      </c>
    </row>
    <row r="124" customFormat="false" ht="15" hidden="false" customHeight="false" outlineLevel="0" collapsed="false">
      <c r="A124" s="7" t="s">
        <v>213</v>
      </c>
      <c r="B124" s="7" t="s">
        <v>38</v>
      </c>
      <c r="C124" s="7" t="s">
        <v>6</v>
      </c>
      <c r="D124" s="8" t="s">
        <v>112</v>
      </c>
      <c r="E124" s="7"/>
      <c r="F124" s="8"/>
      <c r="G124" s="7" t="s">
        <v>194</v>
      </c>
      <c r="H124" s="9" t="n">
        <v>8.2</v>
      </c>
      <c r="I124" s="10" t="n">
        <v>33.644</v>
      </c>
      <c r="J124" s="11" t="n">
        <v>420773.88</v>
      </c>
      <c r="K124" s="11" t="n">
        <v>2044828.254</v>
      </c>
      <c r="L124" s="12" t="n">
        <v>18.4923956</v>
      </c>
      <c r="M124" s="12" t="n">
        <v>-69.7504794</v>
      </c>
      <c r="N124" s="7" t="n">
        <v>119</v>
      </c>
      <c r="O124" s="7" t="s">
        <v>40</v>
      </c>
      <c r="P124" s="8"/>
      <c r="Q124" s="13" t="s">
        <v>25</v>
      </c>
    </row>
    <row r="125" customFormat="false" ht="15" hidden="false" customHeight="false" outlineLevel="0" collapsed="false">
      <c r="A125" s="14" t="s">
        <v>214</v>
      </c>
      <c r="B125" s="14" t="s">
        <v>38</v>
      </c>
      <c r="C125" s="14" t="s">
        <v>6</v>
      </c>
      <c r="D125" s="15" t="s">
        <v>192</v>
      </c>
      <c r="E125" s="14"/>
      <c r="F125" s="15"/>
      <c r="G125" s="14" t="s">
        <v>215</v>
      </c>
      <c r="H125" s="16" t="n">
        <v>6.3</v>
      </c>
      <c r="I125" s="17" t="n">
        <v>35.392</v>
      </c>
      <c r="J125" s="18" t="n">
        <v>420936.486</v>
      </c>
      <c r="K125" s="18" t="n">
        <v>2044606.288</v>
      </c>
      <c r="L125" s="19" t="n">
        <v>18.4903957</v>
      </c>
      <c r="M125" s="19" t="n">
        <v>-69.7489305</v>
      </c>
      <c r="N125" s="14" t="n">
        <v>120</v>
      </c>
      <c r="O125" s="14" t="s">
        <v>40</v>
      </c>
      <c r="P125" s="15"/>
      <c r="Q125" s="20" t="s">
        <v>25</v>
      </c>
    </row>
    <row r="126" customFormat="false" ht="15" hidden="false" customHeight="false" outlineLevel="0" collapsed="false">
      <c r="A126" s="7" t="s">
        <v>216</v>
      </c>
      <c r="B126" s="7" t="s">
        <v>38</v>
      </c>
      <c r="C126" s="7" t="s">
        <v>6</v>
      </c>
      <c r="D126" s="8" t="s">
        <v>192</v>
      </c>
      <c r="E126" s="7"/>
      <c r="F126" s="8"/>
      <c r="G126" s="7" t="s">
        <v>217</v>
      </c>
      <c r="H126" s="9" t="n">
        <v>4.8</v>
      </c>
      <c r="I126" s="10" t="n">
        <v>35.609</v>
      </c>
      <c r="J126" s="11" t="n">
        <v>420946.838</v>
      </c>
      <c r="K126" s="11" t="n">
        <v>2044607.231</v>
      </c>
      <c r="L126" s="12" t="n">
        <v>18.4904046</v>
      </c>
      <c r="M126" s="12" t="n">
        <v>-69.7488325</v>
      </c>
      <c r="N126" s="7" t="n">
        <v>121</v>
      </c>
      <c r="O126" s="7" t="s">
        <v>40</v>
      </c>
      <c r="P126" s="8"/>
      <c r="Q126" s="13" t="s">
        <v>25</v>
      </c>
    </row>
    <row r="127" customFormat="false" ht="15" hidden="false" customHeight="false" outlineLevel="0" collapsed="false">
      <c r="A127" s="14" t="s">
        <v>218</v>
      </c>
      <c r="B127" s="14" t="s">
        <v>38</v>
      </c>
      <c r="C127" s="14" t="s">
        <v>6</v>
      </c>
      <c r="D127" s="15" t="s">
        <v>192</v>
      </c>
      <c r="E127" s="14"/>
      <c r="F127" s="15"/>
      <c r="G127" s="14" t="s">
        <v>215</v>
      </c>
      <c r="H127" s="16" t="n">
        <v>6.5</v>
      </c>
      <c r="I127" s="17" t="n">
        <v>34.692</v>
      </c>
      <c r="J127" s="18" t="n">
        <v>420960.029</v>
      </c>
      <c r="K127" s="18" t="n">
        <v>2044504.609</v>
      </c>
      <c r="L127" s="19" t="n">
        <v>18.4894777</v>
      </c>
      <c r="M127" s="19" t="n">
        <v>-69.7487035</v>
      </c>
      <c r="N127" s="14" t="n">
        <v>122</v>
      </c>
      <c r="O127" s="14" t="s">
        <v>40</v>
      </c>
      <c r="P127" s="15"/>
      <c r="Q127" s="20" t="s">
        <v>25</v>
      </c>
    </row>
    <row r="128" customFormat="false" ht="15" hidden="false" customHeight="false" outlineLevel="0" collapsed="false">
      <c r="A128" s="7" t="s">
        <v>219</v>
      </c>
      <c r="B128" s="7" t="s">
        <v>38</v>
      </c>
      <c r="C128" s="7" t="s">
        <v>6</v>
      </c>
      <c r="D128" s="8" t="s">
        <v>150</v>
      </c>
      <c r="E128" s="7"/>
      <c r="F128" s="8"/>
      <c r="G128" s="7" t="s">
        <v>217</v>
      </c>
      <c r="H128" s="9" t="n">
        <v>7.3</v>
      </c>
      <c r="I128" s="10" t="n">
        <v>34.579</v>
      </c>
      <c r="J128" s="11" t="n">
        <v>420972.152</v>
      </c>
      <c r="K128" s="11" t="n">
        <v>2044508.345</v>
      </c>
      <c r="L128" s="12" t="n">
        <v>18.4895119</v>
      </c>
      <c r="M128" s="12" t="n">
        <v>-69.7485888</v>
      </c>
      <c r="N128" s="7" t="n">
        <v>123</v>
      </c>
      <c r="O128" s="7" t="s">
        <v>40</v>
      </c>
      <c r="P128" s="8"/>
      <c r="Q128" s="13" t="s">
        <v>25</v>
      </c>
    </row>
    <row r="129" customFormat="false" ht="15" hidden="false" customHeight="false" outlineLevel="0" collapsed="false">
      <c r="A129" s="14" t="s">
        <v>220</v>
      </c>
      <c r="B129" s="14" t="s">
        <v>38</v>
      </c>
      <c r="C129" s="14" t="s">
        <v>6</v>
      </c>
      <c r="D129" s="15" t="s">
        <v>150</v>
      </c>
      <c r="E129" s="14"/>
      <c r="F129" s="15"/>
      <c r="G129" s="14" t="s">
        <v>215</v>
      </c>
      <c r="H129" s="16" t="n">
        <v>5.4</v>
      </c>
      <c r="I129" s="17" t="n">
        <v>34.31</v>
      </c>
      <c r="J129" s="18" t="n">
        <v>420909.629</v>
      </c>
      <c r="K129" s="18" t="n">
        <v>2044435.723</v>
      </c>
      <c r="L129" s="19" t="n">
        <v>18.4888532</v>
      </c>
      <c r="M129" s="19" t="n">
        <v>-69.7491782</v>
      </c>
      <c r="N129" s="14" t="n">
        <v>124</v>
      </c>
      <c r="O129" s="14" t="s">
        <v>40</v>
      </c>
      <c r="P129" s="15"/>
      <c r="Q129" s="20" t="s">
        <v>25</v>
      </c>
    </row>
    <row r="130" customFormat="false" ht="15" hidden="false" customHeight="false" outlineLevel="0" collapsed="false">
      <c r="A130" s="7" t="s">
        <v>221</v>
      </c>
      <c r="B130" s="7" t="s">
        <v>38</v>
      </c>
      <c r="C130" s="7" t="s">
        <v>6</v>
      </c>
      <c r="D130" s="8" t="s">
        <v>150</v>
      </c>
      <c r="E130" s="7"/>
      <c r="F130" s="8"/>
      <c r="G130" s="7" t="s">
        <v>222</v>
      </c>
      <c r="H130" s="9" t="n">
        <v>17.1</v>
      </c>
      <c r="I130" s="10" t="n">
        <v>34.04</v>
      </c>
      <c r="J130" s="11" t="n">
        <v>420906.347</v>
      </c>
      <c r="K130" s="11" t="n">
        <v>2044395.442</v>
      </c>
      <c r="L130" s="12" t="n">
        <v>18.4884891</v>
      </c>
      <c r="M130" s="12" t="n">
        <v>-69.7492077</v>
      </c>
      <c r="N130" s="7" t="n">
        <v>125</v>
      </c>
      <c r="O130" s="7" t="s">
        <v>40</v>
      </c>
      <c r="P130" s="8"/>
      <c r="Q130" s="13" t="s">
        <v>25</v>
      </c>
    </row>
    <row r="131" customFormat="false" ht="15" hidden="false" customHeight="false" outlineLevel="0" collapsed="false">
      <c r="A131" s="14" t="s">
        <v>223</v>
      </c>
      <c r="B131" s="14" t="s">
        <v>38</v>
      </c>
      <c r="C131" s="14" t="s">
        <v>6</v>
      </c>
      <c r="D131" s="15" t="s">
        <v>150</v>
      </c>
      <c r="E131" s="14"/>
      <c r="F131" s="15"/>
      <c r="G131" s="14" t="s">
        <v>222</v>
      </c>
      <c r="H131" s="16" t="n">
        <v>4.4</v>
      </c>
      <c r="I131" s="17" t="n">
        <v>33.753</v>
      </c>
      <c r="J131" s="18" t="n">
        <v>420925.667</v>
      </c>
      <c r="K131" s="18" t="n">
        <v>2044370.669</v>
      </c>
      <c r="L131" s="19" t="n">
        <v>18.4882659</v>
      </c>
      <c r="M131" s="19" t="n">
        <v>-69.7490237</v>
      </c>
      <c r="N131" s="14" t="n">
        <v>126</v>
      </c>
      <c r="O131" s="14" t="s">
        <v>40</v>
      </c>
      <c r="P131" s="15"/>
      <c r="Q131" s="20" t="s">
        <v>25</v>
      </c>
    </row>
    <row r="132" customFormat="false" ht="15" hidden="false" customHeight="false" outlineLevel="0" collapsed="false">
      <c r="A132" s="7" t="s">
        <v>224</v>
      </c>
      <c r="B132" s="7" t="s">
        <v>38</v>
      </c>
      <c r="C132" s="7" t="s">
        <v>6</v>
      </c>
      <c r="D132" s="8" t="s">
        <v>150</v>
      </c>
      <c r="E132" s="7"/>
      <c r="F132" s="8"/>
      <c r="G132" s="7" t="s">
        <v>225</v>
      </c>
      <c r="H132" s="9" t="n">
        <v>6.6</v>
      </c>
      <c r="I132" s="10" t="n">
        <v>33.332</v>
      </c>
      <c r="J132" s="11" t="n">
        <v>420957.131</v>
      </c>
      <c r="K132" s="11" t="n">
        <v>2044317.424</v>
      </c>
      <c r="L132" s="12" t="n">
        <v>18.4877859</v>
      </c>
      <c r="M132" s="12" t="n">
        <v>-69.7487236</v>
      </c>
      <c r="N132" s="7" t="n">
        <v>127</v>
      </c>
      <c r="O132" s="7" t="s">
        <v>40</v>
      </c>
      <c r="P132" s="8"/>
      <c r="Q132" s="13" t="s">
        <v>25</v>
      </c>
    </row>
    <row r="133" customFormat="false" ht="15" hidden="false" customHeight="false" outlineLevel="0" collapsed="false">
      <c r="A133" s="14" t="s">
        <v>226</v>
      </c>
      <c r="B133" s="14" t="s">
        <v>38</v>
      </c>
      <c r="C133" s="14" t="s">
        <v>6</v>
      </c>
      <c r="D133" s="15" t="s">
        <v>150</v>
      </c>
      <c r="E133" s="14"/>
      <c r="F133" s="15"/>
      <c r="G133" s="14" t="s">
        <v>222</v>
      </c>
      <c r="H133" s="16" t="n">
        <v>3.5</v>
      </c>
      <c r="I133" s="17" t="n">
        <v>33.256</v>
      </c>
      <c r="J133" s="18" t="n">
        <v>420965.289</v>
      </c>
      <c r="K133" s="18" t="n">
        <v>2044327.282</v>
      </c>
      <c r="L133" s="19" t="n">
        <v>18.4878753</v>
      </c>
      <c r="M133" s="19" t="n">
        <v>-69.7486467</v>
      </c>
      <c r="N133" s="14" t="n">
        <v>128</v>
      </c>
      <c r="O133" s="14" t="s">
        <v>40</v>
      </c>
      <c r="P133" s="15"/>
      <c r="Q133" s="20" t="s">
        <v>25</v>
      </c>
    </row>
    <row r="134" customFormat="false" ht="15" hidden="false" customHeight="false" outlineLevel="0" collapsed="false">
      <c r="A134" s="7" t="s">
        <v>227</v>
      </c>
      <c r="B134" s="7" t="s">
        <v>38</v>
      </c>
      <c r="C134" s="7" t="s">
        <v>6</v>
      </c>
      <c r="D134" s="8" t="s">
        <v>228</v>
      </c>
      <c r="E134" s="7"/>
      <c r="F134" s="8"/>
      <c r="G134" s="7" t="s">
        <v>229</v>
      </c>
      <c r="H134" s="9" t="n">
        <v>5.8</v>
      </c>
      <c r="I134" s="10" t="n">
        <v>32.096</v>
      </c>
      <c r="J134" s="11" t="n">
        <v>420960.956</v>
      </c>
      <c r="K134" s="11" t="n">
        <v>2044226.293</v>
      </c>
      <c r="L134" s="12" t="n">
        <v>18.4869625</v>
      </c>
      <c r="M134" s="12" t="n">
        <v>-69.7486838</v>
      </c>
      <c r="N134" s="7" t="n">
        <v>129</v>
      </c>
      <c r="O134" s="7" t="s">
        <v>40</v>
      </c>
      <c r="P134" s="8"/>
      <c r="Q134" s="13" t="s">
        <v>25</v>
      </c>
    </row>
    <row r="135" customFormat="false" ht="15" hidden="false" customHeight="false" outlineLevel="0" collapsed="false">
      <c r="A135" s="14" t="s">
        <v>230</v>
      </c>
      <c r="B135" s="14" t="s">
        <v>38</v>
      </c>
      <c r="C135" s="14" t="s">
        <v>6</v>
      </c>
      <c r="D135" s="15" t="s">
        <v>228</v>
      </c>
      <c r="E135" s="14"/>
      <c r="F135" s="15"/>
      <c r="G135" s="14" t="s">
        <v>229</v>
      </c>
      <c r="H135" s="16" t="n">
        <v>6</v>
      </c>
      <c r="I135" s="17" t="n">
        <v>31.617</v>
      </c>
      <c r="J135" s="18" t="n">
        <v>420948.979</v>
      </c>
      <c r="K135" s="18" t="n">
        <v>2044169.03</v>
      </c>
      <c r="L135" s="19" t="n">
        <v>18.4864445</v>
      </c>
      <c r="M135" s="19" t="n">
        <v>-69.748795</v>
      </c>
      <c r="N135" s="14" t="n">
        <v>130</v>
      </c>
      <c r="O135" s="14" t="s">
        <v>40</v>
      </c>
      <c r="P135" s="15"/>
      <c r="Q135" s="20" t="s">
        <v>25</v>
      </c>
    </row>
    <row r="136" customFormat="false" ht="15" hidden="false" customHeight="false" outlineLevel="0" collapsed="false">
      <c r="A136" s="7" t="s">
        <v>231</v>
      </c>
      <c r="B136" s="7" t="s">
        <v>38</v>
      </c>
      <c r="C136" s="7" t="s">
        <v>6</v>
      </c>
      <c r="D136" s="8" t="s">
        <v>139</v>
      </c>
      <c r="E136" s="7"/>
      <c r="F136" s="8"/>
      <c r="G136" s="7" t="s">
        <v>232</v>
      </c>
      <c r="H136" s="9" t="n">
        <v>8.3</v>
      </c>
      <c r="I136" s="10" t="n">
        <v>31.596</v>
      </c>
      <c r="J136" s="11" t="n">
        <v>420943.832</v>
      </c>
      <c r="K136" s="11" t="n">
        <v>2044155.512</v>
      </c>
      <c r="L136" s="12" t="n">
        <v>18.4863222</v>
      </c>
      <c r="M136" s="12" t="n">
        <v>-69.7488432</v>
      </c>
      <c r="N136" s="7" t="n">
        <v>131</v>
      </c>
      <c r="O136" s="7" t="s">
        <v>40</v>
      </c>
      <c r="P136" s="8"/>
      <c r="Q136" s="13" t="s">
        <v>25</v>
      </c>
    </row>
    <row r="137" customFormat="false" ht="15" hidden="false" customHeight="false" outlineLevel="0" collapsed="false">
      <c r="A137" s="14" t="s">
        <v>233</v>
      </c>
      <c r="B137" s="14" t="s">
        <v>38</v>
      </c>
      <c r="C137" s="14" t="s">
        <v>6</v>
      </c>
      <c r="D137" s="15" t="s">
        <v>228</v>
      </c>
      <c r="E137" s="14"/>
      <c r="F137" s="15"/>
      <c r="G137" s="14" t="s">
        <v>234</v>
      </c>
      <c r="H137" s="16" t="n">
        <v>7.9</v>
      </c>
      <c r="I137" s="17" t="n">
        <v>31.6</v>
      </c>
      <c r="J137" s="18" t="n">
        <v>420961.299</v>
      </c>
      <c r="K137" s="18" t="n">
        <v>2044161.133</v>
      </c>
      <c r="L137" s="19" t="n">
        <v>18.4863736</v>
      </c>
      <c r="M137" s="19" t="n">
        <v>-69.748678</v>
      </c>
      <c r="N137" s="14" t="n">
        <v>132</v>
      </c>
      <c r="O137" s="14" t="s">
        <v>40</v>
      </c>
      <c r="P137" s="15"/>
      <c r="Q137" s="20" t="s">
        <v>25</v>
      </c>
    </row>
    <row r="138" customFormat="false" ht="15" hidden="false" customHeight="false" outlineLevel="0" collapsed="false">
      <c r="A138" s="7" t="s">
        <v>235</v>
      </c>
      <c r="B138" s="7" t="s">
        <v>38</v>
      </c>
      <c r="C138" s="7" t="s">
        <v>6</v>
      </c>
      <c r="D138" s="8" t="s">
        <v>228</v>
      </c>
      <c r="E138" s="7"/>
      <c r="F138" s="8"/>
      <c r="G138" s="7" t="s">
        <v>232</v>
      </c>
      <c r="H138" s="9" t="n">
        <v>5.8</v>
      </c>
      <c r="I138" s="10" t="n">
        <v>32.752</v>
      </c>
      <c r="J138" s="11" t="n">
        <v>420932.04</v>
      </c>
      <c r="K138" s="11" t="n">
        <v>2044039.867</v>
      </c>
      <c r="L138" s="12" t="n">
        <v>18.4852766</v>
      </c>
      <c r="M138" s="12" t="n">
        <v>-69.7489504</v>
      </c>
      <c r="N138" s="7" t="n">
        <v>133</v>
      </c>
      <c r="O138" s="7" t="s">
        <v>40</v>
      </c>
      <c r="P138" s="8"/>
      <c r="Q138" s="13" t="s">
        <v>25</v>
      </c>
    </row>
    <row r="139" customFormat="false" ht="15" hidden="false" customHeight="false" outlineLevel="0" collapsed="false">
      <c r="A139" s="14" t="s">
        <v>236</v>
      </c>
      <c r="B139" s="14" t="s">
        <v>38</v>
      </c>
      <c r="C139" s="14" t="s">
        <v>6</v>
      </c>
      <c r="D139" s="15" t="s">
        <v>228</v>
      </c>
      <c r="E139" s="14"/>
      <c r="F139" s="15"/>
      <c r="G139" s="14" t="s">
        <v>237</v>
      </c>
      <c r="H139" s="16" t="n">
        <v>6.2</v>
      </c>
      <c r="I139" s="17" t="n">
        <v>32.51</v>
      </c>
      <c r="J139" s="18" t="n">
        <v>420942.06</v>
      </c>
      <c r="K139" s="18" t="n">
        <v>2044037.928</v>
      </c>
      <c r="L139" s="19" t="n">
        <v>18.4852594</v>
      </c>
      <c r="M139" s="19" t="n">
        <v>-69.7488554</v>
      </c>
      <c r="N139" s="14" t="n">
        <v>134</v>
      </c>
      <c r="O139" s="14" t="s">
        <v>40</v>
      </c>
      <c r="P139" s="15"/>
      <c r="Q139" s="20" t="s">
        <v>25</v>
      </c>
    </row>
    <row r="140" customFormat="false" ht="15" hidden="false" customHeight="false" outlineLevel="0" collapsed="false">
      <c r="A140" s="7" t="s">
        <v>238</v>
      </c>
      <c r="B140" s="7" t="s">
        <v>21</v>
      </c>
      <c r="C140" s="7" t="s">
        <v>6</v>
      </c>
      <c r="D140" s="8" t="s">
        <v>239</v>
      </c>
      <c r="E140" s="7"/>
      <c r="F140" s="8"/>
      <c r="G140" s="7" t="s">
        <v>136</v>
      </c>
      <c r="H140" s="9" t="n">
        <v>8.1</v>
      </c>
      <c r="I140" s="10" t="n">
        <v>31.332</v>
      </c>
      <c r="J140" s="11" t="n">
        <v>421121.707</v>
      </c>
      <c r="K140" s="11" t="n">
        <v>2044037.917</v>
      </c>
      <c r="L140" s="12" t="n">
        <v>18.4852661</v>
      </c>
      <c r="M140" s="12" t="n">
        <v>-69.7471538</v>
      </c>
      <c r="N140" s="7" t="n">
        <v>135</v>
      </c>
      <c r="O140" s="7" t="s">
        <v>24</v>
      </c>
      <c r="P140" s="8"/>
      <c r="Q140" s="13" t="s">
        <v>25</v>
      </c>
    </row>
    <row r="141" customFormat="false" ht="15" hidden="false" customHeight="false" outlineLevel="0" collapsed="false">
      <c r="A141" s="14" t="s">
        <v>240</v>
      </c>
      <c r="B141" s="14" t="s">
        <v>21</v>
      </c>
      <c r="C141" s="14" t="s">
        <v>6</v>
      </c>
      <c r="D141" s="15" t="s">
        <v>239</v>
      </c>
      <c r="E141" s="14"/>
      <c r="F141" s="15"/>
      <c r="G141" s="14" t="s">
        <v>241</v>
      </c>
      <c r="H141" s="16" t="n">
        <v>4.8</v>
      </c>
      <c r="I141" s="17" t="n">
        <v>31.127</v>
      </c>
      <c r="J141" s="18" t="n">
        <v>421111.733</v>
      </c>
      <c r="K141" s="18" t="n">
        <v>2044035.077</v>
      </c>
      <c r="L141" s="19" t="n">
        <v>18.48524</v>
      </c>
      <c r="M141" s="19" t="n">
        <v>-69.7472482</v>
      </c>
      <c r="N141" s="14" t="n">
        <v>136</v>
      </c>
      <c r="O141" s="14" t="s">
        <v>24</v>
      </c>
      <c r="P141" s="15"/>
      <c r="Q141" s="20" t="s">
        <v>25</v>
      </c>
    </row>
    <row r="142" customFormat="false" ht="15" hidden="false" customHeight="false" outlineLevel="0" collapsed="false">
      <c r="A142" s="7" t="s">
        <v>242</v>
      </c>
      <c r="B142" s="7" t="s">
        <v>21</v>
      </c>
      <c r="C142" s="7" t="s">
        <v>6</v>
      </c>
      <c r="D142" s="8" t="s">
        <v>239</v>
      </c>
      <c r="E142" s="7"/>
      <c r="F142" s="8"/>
      <c r="G142" s="7" t="s">
        <v>136</v>
      </c>
      <c r="H142" s="9" t="n">
        <v>7.6</v>
      </c>
      <c r="I142" s="10" t="n">
        <v>31.185</v>
      </c>
      <c r="J142" s="11" t="n">
        <v>421097.298</v>
      </c>
      <c r="K142" s="11" t="n">
        <v>2044133.831</v>
      </c>
      <c r="L142" s="12" t="n">
        <v>18.486132</v>
      </c>
      <c r="M142" s="12" t="n">
        <v>-69.7473888</v>
      </c>
      <c r="N142" s="7" t="n">
        <v>137</v>
      </c>
      <c r="O142" s="7" t="s">
        <v>24</v>
      </c>
      <c r="P142" s="8"/>
      <c r="Q142" s="13" t="s">
        <v>25</v>
      </c>
    </row>
    <row r="143" customFormat="false" ht="15" hidden="false" customHeight="false" outlineLevel="0" collapsed="false">
      <c r="A143" s="14" t="s">
        <v>243</v>
      </c>
      <c r="B143" s="14" t="s">
        <v>21</v>
      </c>
      <c r="C143" s="14" t="s">
        <v>6</v>
      </c>
      <c r="D143" s="15" t="s">
        <v>239</v>
      </c>
      <c r="E143" s="14"/>
      <c r="F143" s="15"/>
      <c r="G143" s="14" t="s">
        <v>244</v>
      </c>
      <c r="H143" s="16" t="n">
        <v>5.5</v>
      </c>
      <c r="I143" s="17" t="n">
        <v>31.202</v>
      </c>
      <c r="J143" s="18" t="n">
        <v>421085.609</v>
      </c>
      <c r="K143" s="18" t="n">
        <v>2044138.574</v>
      </c>
      <c r="L143" s="19" t="n">
        <v>18.4861744</v>
      </c>
      <c r="M143" s="19" t="n">
        <v>-69.7474997</v>
      </c>
      <c r="N143" s="14" t="n">
        <v>138</v>
      </c>
      <c r="O143" s="14" t="s">
        <v>24</v>
      </c>
      <c r="P143" s="15"/>
      <c r="Q143" s="20" t="s">
        <v>25</v>
      </c>
    </row>
    <row r="144" customFormat="false" ht="15" hidden="false" customHeight="false" outlineLevel="0" collapsed="false">
      <c r="A144" s="7" t="s">
        <v>245</v>
      </c>
      <c r="B144" s="7" t="s">
        <v>38</v>
      </c>
      <c r="C144" s="7" t="s">
        <v>6</v>
      </c>
      <c r="D144" s="8" t="s">
        <v>139</v>
      </c>
      <c r="E144" s="7"/>
      <c r="F144" s="8"/>
      <c r="G144" s="7" t="s">
        <v>136</v>
      </c>
      <c r="H144" s="9" t="n">
        <v>6.5</v>
      </c>
      <c r="I144" s="10" t="n">
        <v>32.037</v>
      </c>
      <c r="J144" s="11" t="n">
        <v>421103.427</v>
      </c>
      <c r="K144" s="11" t="n">
        <v>2044165.874</v>
      </c>
      <c r="L144" s="12" t="n">
        <v>18.4864218</v>
      </c>
      <c r="M144" s="12" t="n">
        <v>-69.747332</v>
      </c>
      <c r="N144" s="7" t="n">
        <v>139</v>
      </c>
      <c r="O144" s="7" t="s">
        <v>40</v>
      </c>
      <c r="P144" s="8"/>
      <c r="Q144" s="13" t="s">
        <v>25</v>
      </c>
    </row>
    <row r="145" customFormat="false" ht="15" hidden="false" customHeight="false" outlineLevel="0" collapsed="false">
      <c r="A145" s="14" t="s">
        <v>246</v>
      </c>
      <c r="B145" s="14" t="s">
        <v>38</v>
      </c>
      <c r="C145" s="14" t="s">
        <v>6</v>
      </c>
      <c r="D145" s="15" t="s">
        <v>139</v>
      </c>
      <c r="E145" s="14"/>
      <c r="F145" s="15"/>
      <c r="G145" s="14" t="s">
        <v>136</v>
      </c>
      <c r="H145" s="16" t="n">
        <v>3.6</v>
      </c>
      <c r="I145" s="17" t="n">
        <v>32.176</v>
      </c>
      <c r="J145" s="18" t="n">
        <v>421173.635</v>
      </c>
      <c r="K145" s="18" t="n">
        <v>2044167.001</v>
      </c>
      <c r="L145" s="19" t="n">
        <v>18.4864346</v>
      </c>
      <c r="M145" s="19" t="n">
        <v>-69.746667</v>
      </c>
      <c r="N145" s="14" t="n">
        <v>140</v>
      </c>
      <c r="O145" s="14" t="s">
        <v>40</v>
      </c>
      <c r="P145" s="15"/>
      <c r="Q145" s="20" t="s">
        <v>25</v>
      </c>
    </row>
    <row r="146" customFormat="false" ht="15" hidden="false" customHeight="false" outlineLevel="0" collapsed="false">
      <c r="A146" s="7" t="s">
        <v>247</v>
      </c>
      <c r="B146" s="7" t="s">
        <v>38</v>
      </c>
      <c r="C146" s="7" t="s">
        <v>6</v>
      </c>
      <c r="D146" s="8" t="s">
        <v>139</v>
      </c>
      <c r="E146" s="7"/>
      <c r="F146" s="8"/>
      <c r="G146" s="7" t="s">
        <v>248</v>
      </c>
      <c r="H146" s="9" t="n">
        <v>1.5</v>
      </c>
      <c r="I146" s="10" t="n">
        <v>32.204</v>
      </c>
      <c r="J146" s="11" t="n">
        <v>421173.735</v>
      </c>
      <c r="K146" s="11" t="n">
        <v>2044176.98</v>
      </c>
      <c r="L146" s="12" t="n">
        <v>18.4865248</v>
      </c>
      <c r="M146" s="12" t="n">
        <v>-69.7466665</v>
      </c>
      <c r="N146" s="7" t="n">
        <v>141</v>
      </c>
      <c r="O146" s="7" t="s">
        <v>40</v>
      </c>
      <c r="P146" s="8"/>
      <c r="Q146" s="13" t="s">
        <v>25</v>
      </c>
    </row>
    <row r="147" customFormat="false" ht="15" hidden="false" customHeight="false" outlineLevel="0" collapsed="false">
      <c r="A147" s="14" t="s">
        <v>249</v>
      </c>
      <c r="B147" s="14" t="s">
        <v>38</v>
      </c>
      <c r="C147" s="14" t="s">
        <v>6</v>
      </c>
      <c r="D147" s="15" t="s">
        <v>239</v>
      </c>
      <c r="E147" s="14"/>
      <c r="F147" s="15"/>
      <c r="G147" s="14" t="s">
        <v>248</v>
      </c>
      <c r="H147" s="16" t="n">
        <v>6.7</v>
      </c>
      <c r="I147" s="17" t="n">
        <v>31.82</v>
      </c>
      <c r="J147" s="18" t="n">
        <v>421092.049</v>
      </c>
      <c r="K147" s="18" t="n">
        <v>2044174.701</v>
      </c>
      <c r="L147" s="19" t="n">
        <v>18.4865011</v>
      </c>
      <c r="M147" s="19" t="n">
        <v>-69.7474401</v>
      </c>
      <c r="N147" s="14" t="n">
        <v>142</v>
      </c>
      <c r="O147" s="14" t="s">
        <v>40</v>
      </c>
      <c r="P147" s="15"/>
      <c r="Q147" s="20" t="s">
        <v>25</v>
      </c>
    </row>
    <row r="148" customFormat="false" ht="15" hidden="false" customHeight="false" outlineLevel="0" collapsed="false">
      <c r="A148" s="7" t="s">
        <v>250</v>
      </c>
      <c r="B148" s="7" t="s">
        <v>38</v>
      </c>
      <c r="C148" s="7" t="s">
        <v>6</v>
      </c>
      <c r="D148" s="8" t="s">
        <v>239</v>
      </c>
      <c r="E148" s="7"/>
      <c r="F148" s="8"/>
      <c r="G148" s="7" t="s">
        <v>248</v>
      </c>
      <c r="H148" s="9" t="n">
        <v>7.5</v>
      </c>
      <c r="I148" s="10" t="n">
        <v>32.335</v>
      </c>
      <c r="J148" s="11" t="n">
        <v>421081.169</v>
      </c>
      <c r="K148" s="11" t="n">
        <v>2044197.543</v>
      </c>
      <c r="L148" s="12" t="n">
        <v>18.4867071</v>
      </c>
      <c r="M148" s="12" t="n">
        <v>-69.747544</v>
      </c>
      <c r="N148" s="7" t="n">
        <v>143</v>
      </c>
      <c r="O148" s="7" t="s">
        <v>40</v>
      </c>
      <c r="P148" s="8"/>
      <c r="Q148" s="13" t="s">
        <v>25</v>
      </c>
    </row>
    <row r="149" customFormat="false" ht="15" hidden="false" customHeight="false" outlineLevel="0" collapsed="false">
      <c r="A149" s="14" t="s">
        <v>251</v>
      </c>
      <c r="B149" s="14" t="s">
        <v>38</v>
      </c>
      <c r="C149" s="14" t="s">
        <v>6</v>
      </c>
      <c r="D149" s="15" t="s">
        <v>239</v>
      </c>
      <c r="E149" s="14"/>
      <c r="F149" s="15"/>
      <c r="G149" s="14" t="s">
        <v>248</v>
      </c>
      <c r="H149" s="16" t="n">
        <v>7.4</v>
      </c>
      <c r="I149" s="17" t="n">
        <v>32.909</v>
      </c>
      <c r="J149" s="18" t="n">
        <v>421062.702</v>
      </c>
      <c r="K149" s="18" t="n">
        <v>2044270.661</v>
      </c>
      <c r="L149" s="19" t="n">
        <v>18.4873672</v>
      </c>
      <c r="M149" s="19" t="n">
        <v>-69.7477218</v>
      </c>
      <c r="N149" s="14" t="n">
        <v>144</v>
      </c>
      <c r="O149" s="14" t="s">
        <v>40</v>
      </c>
      <c r="P149" s="15"/>
      <c r="Q149" s="20" t="s">
        <v>25</v>
      </c>
    </row>
    <row r="150" customFormat="false" ht="15" hidden="false" customHeight="false" outlineLevel="0" collapsed="false">
      <c r="A150" s="7" t="s">
        <v>252</v>
      </c>
      <c r="B150" s="7" t="s">
        <v>21</v>
      </c>
      <c r="C150" s="7" t="s">
        <v>6</v>
      </c>
      <c r="D150" s="8" t="s">
        <v>150</v>
      </c>
      <c r="E150" s="7"/>
      <c r="F150" s="8"/>
      <c r="G150" s="7" t="s">
        <v>222</v>
      </c>
      <c r="H150" s="9" t="n">
        <v>3</v>
      </c>
      <c r="I150" s="10" t="n">
        <v>33.246</v>
      </c>
      <c r="J150" s="11" t="n">
        <v>421056.931</v>
      </c>
      <c r="K150" s="11" t="n">
        <v>2044330.245</v>
      </c>
      <c r="L150" s="12" t="n">
        <v>18.4879055</v>
      </c>
      <c r="M150" s="12" t="n">
        <v>-69.7477788</v>
      </c>
      <c r="N150" s="7" t="n">
        <v>145</v>
      </c>
      <c r="O150" s="7" t="s">
        <v>24</v>
      </c>
      <c r="P150" s="8"/>
      <c r="Q150" s="13" t="s">
        <v>25</v>
      </c>
    </row>
    <row r="151" customFormat="false" ht="15" hidden="false" customHeight="false" outlineLevel="0" collapsed="false">
      <c r="A151" s="14" t="s">
        <v>253</v>
      </c>
      <c r="B151" s="14" t="s">
        <v>21</v>
      </c>
      <c r="C151" s="14" t="s">
        <v>6</v>
      </c>
      <c r="D151" s="15" t="s">
        <v>150</v>
      </c>
      <c r="E151" s="14"/>
      <c r="F151" s="15"/>
      <c r="G151" s="14" t="s">
        <v>222</v>
      </c>
      <c r="H151" s="16" t="n">
        <v>15.6</v>
      </c>
      <c r="I151" s="17" t="n">
        <v>33.005</v>
      </c>
      <c r="J151" s="18" t="n">
        <v>421111.012</v>
      </c>
      <c r="K151" s="18" t="n">
        <v>2044411.718</v>
      </c>
      <c r="L151" s="19" t="n">
        <v>18.4886438</v>
      </c>
      <c r="M151" s="19" t="n">
        <v>-69.7472698</v>
      </c>
      <c r="N151" s="14" t="n">
        <v>146</v>
      </c>
      <c r="O151" s="14" t="s">
        <v>24</v>
      </c>
      <c r="P151" s="15"/>
      <c r="Q151" s="20" t="s">
        <v>25</v>
      </c>
    </row>
    <row r="152" customFormat="false" ht="15" hidden="false" customHeight="false" outlineLevel="0" collapsed="false">
      <c r="A152" s="7" t="s">
        <v>254</v>
      </c>
      <c r="B152" s="7" t="s">
        <v>21</v>
      </c>
      <c r="C152" s="7" t="s">
        <v>6</v>
      </c>
      <c r="D152" s="8" t="s">
        <v>150</v>
      </c>
      <c r="E152" s="7"/>
      <c r="F152" s="8"/>
      <c r="G152" s="7" t="s">
        <v>222</v>
      </c>
      <c r="H152" s="9" t="n">
        <v>3.4</v>
      </c>
      <c r="I152" s="10" t="n">
        <v>33.086</v>
      </c>
      <c r="J152" s="11" t="n">
        <v>421098.926</v>
      </c>
      <c r="K152" s="11" t="n">
        <v>2044409.456</v>
      </c>
      <c r="L152" s="12" t="n">
        <v>18.4886229</v>
      </c>
      <c r="M152" s="12" t="n">
        <v>-69.7473842</v>
      </c>
      <c r="N152" s="7" t="n">
        <v>147</v>
      </c>
      <c r="O152" s="7" t="s">
        <v>24</v>
      </c>
      <c r="P152" s="8"/>
      <c r="Q152" s="13" t="s">
        <v>25</v>
      </c>
    </row>
    <row r="153" customFormat="false" ht="15" hidden="false" customHeight="false" outlineLevel="0" collapsed="false">
      <c r="A153" s="14" t="s">
        <v>255</v>
      </c>
      <c r="B153" s="14" t="s">
        <v>38</v>
      </c>
      <c r="C153" s="14" t="s">
        <v>6</v>
      </c>
      <c r="D153" s="15" t="s">
        <v>150</v>
      </c>
      <c r="E153" s="14"/>
      <c r="F153" s="15"/>
      <c r="G153" s="14" t="s">
        <v>256</v>
      </c>
      <c r="H153" s="16" t="n">
        <v>9</v>
      </c>
      <c r="I153" s="17" t="n">
        <v>33.076</v>
      </c>
      <c r="J153" s="18" t="n">
        <v>421125.066</v>
      </c>
      <c r="K153" s="18" t="n">
        <v>2044398.039</v>
      </c>
      <c r="L153" s="19" t="n">
        <v>18.4885207</v>
      </c>
      <c r="M153" s="19" t="n">
        <v>-69.7471361</v>
      </c>
      <c r="N153" s="14" t="n">
        <v>148</v>
      </c>
      <c r="O153" s="14" t="s">
        <v>40</v>
      </c>
      <c r="P153" s="15"/>
      <c r="Q153" s="20" t="s">
        <v>25</v>
      </c>
    </row>
    <row r="154" customFormat="false" ht="15" hidden="false" customHeight="false" outlineLevel="0" collapsed="false">
      <c r="A154" s="7" t="s">
        <v>257</v>
      </c>
      <c r="B154" s="7" t="s">
        <v>38</v>
      </c>
      <c r="C154" s="7" t="s">
        <v>6</v>
      </c>
      <c r="D154" s="8" t="s">
        <v>150</v>
      </c>
      <c r="E154" s="7"/>
      <c r="F154" s="8"/>
      <c r="G154" s="7" t="s">
        <v>256</v>
      </c>
      <c r="H154" s="9" t="n">
        <v>7.7</v>
      </c>
      <c r="I154" s="10" t="n">
        <v>33.62</v>
      </c>
      <c r="J154" s="11" t="n">
        <v>421185.519</v>
      </c>
      <c r="K154" s="11" t="n">
        <v>2044401.649</v>
      </c>
      <c r="L154" s="12" t="n">
        <v>18.4885556</v>
      </c>
      <c r="M154" s="12" t="n">
        <v>-69.7465637</v>
      </c>
      <c r="N154" s="7" t="n">
        <v>149</v>
      </c>
      <c r="O154" s="7" t="s">
        <v>40</v>
      </c>
      <c r="P154" s="8"/>
      <c r="Q154" s="13" t="s">
        <v>25</v>
      </c>
    </row>
    <row r="155" customFormat="false" ht="15" hidden="false" customHeight="false" outlineLevel="0" collapsed="false">
      <c r="A155" s="14" t="s">
        <v>258</v>
      </c>
      <c r="B155" s="14" t="s">
        <v>38</v>
      </c>
      <c r="C155" s="14" t="s">
        <v>6</v>
      </c>
      <c r="D155" s="15" t="s">
        <v>150</v>
      </c>
      <c r="E155" s="14"/>
      <c r="F155" s="15"/>
      <c r="G155" s="14" t="s">
        <v>157</v>
      </c>
      <c r="H155" s="16" t="n">
        <v>5.7</v>
      </c>
      <c r="I155" s="17" t="n">
        <v>33.929</v>
      </c>
      <c r="J155" s="18" t="n">
        <v>421224.553</v>
      </c>
      <c r="K155" s="18" t="n">
        <v>2044430.183</v>
      </c>
      <c r="L155" s="19" t="n">
        <v>18.488815</v>
      </c>
      <c r="M155" s="19" t="n">
        <v>-69.7461951</v>
      </c>
      <c r="N155" s="14" t="n">
        <v>150</v>
      </c>
      <c r="O155" s="14" t="s">
        <v>40</v>
      </c>
      <c r="P155" s="15"/>
      <c r="Q155" s="20" t="s">
        <v>25</v>
      </c>
    </row>
    <row r="156" customFormat="false" ht="15" hidden="false" customHeight="false" outlineLevel="0" collapsed="false">
      <c r="A156" s="7" t="s">
        <v>259</v>
      </c>
      <c r="B156" s="7" t="s">
        <v>38</v>
      </c>
      <c r="C156" s="7" t="s">
        <v>6</v>
      </c>
      <c r="D156" s="8" t="s">
        <v>150</v>
      </c>
      <c r="E156" s="7"/>
      <c r="F156" s="8"/>
      <c r="G156" s="7" t="s">
        <v>157</v>
      </c>
      <c r="H156" s="9" t="n">
        <v>5.7</v>
      </c>
      <c r="I156" s="10" t="n">
        <v>33.611</v>
      </c>
      <c r="J156" s="11" t="n">
        <v>421170.066</v>
      </c>
      <c r="K156" s="11" t="n">
        <v>2044427.524</v>
      </c>
      <c r="L156" s="12" t="n">
        <v>18.4887889</v>
      </c>
      <c r="M156" s="12" t="n">
        <v>-69.746711</v>
      </c>
      <c r="N156" s="7" t="n">
        <v>151</v>
      </c>
      <c r="O156" s="7" t="s">
        <v>40</v>
      </c>
      <c r="P156" s="8"/>
      <c r="Q156" s="13" t="s">
        <v>25</v>
      </c>
    </row>
    <row r="157" customFormat="false" ht="15" hidden="false" customHeight="false" outlineLevel="0" collapsed="false">
      <c r="A157" s="14" t="s">
        <v>260</v>
      </c>
      <c r="B157" s="14" t="s">
        <v>38</v>
      </c>
      <c r="C157" s="14" t="s">
        <v>6</v>
      </c>
      <c r="D157" s="15" t="s">
        <v>150</v>
      </c>
      <c r="E157" s="14"/>
      <c r="F157" s="15"/>
      <c r="G157" s="14" t="s">
        <v>157</v>
      </c>
      <c r="H157" s="16" t="n">
        <v>5.7</v>
      </c>
      <c r="I157" s="17" t="n">
        <v>33.7</v>
      </c>
      <c r="J157" s="18" t="n">
        <v>421144.007</v>
      </c>
      <c r="K157" s="18" t="n">
        <v>2044426.355</v>
      </c>
      <c r="L157" s="19" t="n">
        <v>18.4887774</v>
      </c>
      <c r="M157" s="19" t="n">
        <v>-69.7469578</v>
      </c>
      <c r="N157" s="14" t="n">
        <v>152</v>
      </c>
      <c r="O157" s="14" t="s">
        <v>40</v>
      </c>
      <c r="P157" s="15"/>
      <c r="Q157" s="20" t="s">
        <v>25</v>
      </c>
    </row>
    <row r="158" customFormat="false" ht="15" hidden="false" customHeight="false" outlineLevel="0" collapsed="false">
      <c r="A158" s="7" t="s">
        <v>261</v>
      </c>
      <c r="B158" s="7" t="s">
        <v>38</v>
      </c>
      <c r="C158" s="7" t="s">
        <v>6</v>
      </c>
      <c r="D158" s="8" t="s">
        <v>150</v>
      </c>
      <c r="E158" s="7"/>
      <c r="F158" s="8"/>
      <c r="G158" s="7" t="s">
        <v>157</v>
      </c>
      <c r="H158" s="9" t="n">
        <v>8.3</v>
      </c>
      <c r="I158" s="10" t="n">
        <v>33.379</v>
      </c>
      <c r="J158" s="11" t="n">
        <v>421118.367</v>
      </c>
      <c r="K158" s="11" t="n">
        <v>2044427.958</v>
      </c>
      <c r="L158" s="12" t="n">
        <v>18.4887909</v>
      </c>
      <c r="M158" s="12" t="n">
        <v>-69.7472007</v>
      </c>
      <c r="N158" s="7" t="n">
        <v>153</v>
      </c>
      <c r="O158" s="7" t="s">
        <v>40</v>
      </c>
      <c r="P158" s="8"/>
      <c r="Q158" s="13" t="s">
        <v>25</v>
      </c>
    </row>
    <row r="159" customFormat="false" ht="15" hidden="false" customHeight="false" outlineLevel="0" collapsed="false">
      <c r="A159" s="14" t="s">
        <v>262</v>
      </c>
      <c r="B159" s="14" t="s">
        <v>38</v>
      </c>
      <c r="C159" s="14" t="s">
        <v>6</v>
      </c>
      <c r="D159" s="15" t="s">
        <v>150</v>
      </c>
      <c r="E159" s="14"/>
      <c r="F159" s="15"/>
      <c r="G159" s="14" t="s">
        <v>157</v>
      </c>
      <c r="H159" s="16" t="n">
        <v>8.5</v>
      </c>
      <c r="I159" s="17" t="n">
        <v>34.228</v>
      </c>
      <c r="J159" s="18" t="n">
        <v>421053.748</v>
      </c>
      <c r="K159" s="18" t="n">
        <v>2044500.113</v>
      </c>
      <c r="L159" s="19" t="n">
        <v>18.4894406</v>
      </c>
      <c r="M159" s="19" t="n">
        <v>-69.7478156</v>
      </c>
      <c r="N159" s="14" t="n">
        <v>154</v>
      </c>
      <c r="O159" s="14" t="s">
        <v>40</v>
      </c>
      <c r="P159" s="15"/>
      <c r="Q159" s="20" t="s">
        <v>25</v>
      </c>
    </row>
    <row r="160" customFormat="false" ht="15" hidden="false" customHeight="false" outlineLevel="0" collapsed="false">
      <c r="A160" s="7" t="s">
        <v>263</v>
      </c>
      <c r="B160" s="7" t="s">
        <v>38</v>
      </c>
      <c r="C160" s="7" t="s">
        <v>6</v>
      </c>
      <c r="D160" s="8" t="s">
        <v>150</v>
      </c>
      <c r="E160" s="7"/>
      <c r="F160" s="8"/>
      <c r="G160" s="7" t="s">
        <v>222</v>
      </c>
      <c r="H160" s="9" t="n">
        <v>5</v>
      </c>
      <c r="I160" s="10" t="n">
        <v>34.334</v>
      </c>
      <c r="J160" s="11" t="n">
        <v>421006.818</v>
      </c>
      <c r="K160" s="11" t="n">
        <v>2044496.949</v>
      </c>
      <c r="L160" s="12" t="n">
        <v>18.4894102</v>
      </c>
      <c r="M160" s="12" t="n">
        <v>-69.74826</v>
      </c>
      <c r="N160" s="7" t="n">
        <v>155</v>
      </c>
      <c r="O160" s="7" t="s">
        <v>40</v>
      </c>
      <c r="P160" s="8"/>
      <c r="Q160" s="13" t="s">
        <v>25</v>
      </c>
    </row>
    <row r="161" customFormat="false" ht="15" hidden="false" customHeight="false" outlineLevel="0" collapsed="false">
      <c r="A161" s="14" t="s">
        <v>264</v>
      </c>
      <c r="B161" s="14" t="s">
        <v>38</v>
      </c>
      <c r="C161" s="14" t="s">
        <v>6</v>
      </c>
      <c r="D161" s="15" t="s">
        <v>265</v>
      </c>
      <c r="E161" s="14"/>
      <c r="F161" s="15"/>
      <c r="G161" s="14" t="s">
        <v>217</v>
      </c>
      <c r="H161" s="16" t="n">
        <v>7.3</v>
      </c>
      <c r="I161" s="17" t="n">
        <v>34.222</v>
      </c>
      <c r="J161" s="18" t="n">
        <v>421034.865</v>
      </c>
      <c r="K161" s="18" t="n">
        <v>2044512.362</v>
      </c>
      <c r="L161" s="19" t="n">
        <v>18.4895506</v>
      </c>
      <c r="M161" s="19" t="n">
        <v>-69.747995</v>
      </c>
      <c r="N161" s="14" t="n">
        <v>156</v>
      </c>
      <c r="O161" s="14" t="s">
        <v>40</v>
      </c>
      <c r="P161" s="15"/>
      <c r="Q161" s="20" t="s">
        <v>25</v>
      </c>
    </row>
    <row r="162" customFormat="false" ht="15" hidden="false" customHeight="false" outlineLevel="0" collapsed="false">
      <c r="A162" s="7" t="s">
        <v>266</v>
      </c>
      <c r="B162" s="7" t="s">
        <v>38</v>
      </c>
      <c r="C162" s="7" t="s">
        <v>6</v>
      </c>
      <c r="D162" s="8" t="s">
        <v>265</v>
      </c>
      <c r="E162" s="7"/>
      <c r="F162" s="8"/>
      <c r="G162" s="7" t="s">
        <v>157</v>
      </c>
      <c r="H162" s="9" t="n">
        <v>8.6</v>
      </c>
      <c r="I162" s="10" t="n">
        <v>34.403</v>
      </c>
      <c r="J162" s="11" t="n">
        <v>421047.067</v>
      </c>
      <c r="K162" s="11" t="n">
        <v>2044513.827</v>
      </c>
      <c r="L162" s="12" t="n">
        <v>18.4895643</v>
      </c>
      <c r="M162" s="12" t="n">
        <v>-69.7478794</v>
      </c>
      <c r="N162" s="7" t="n">
        <v>157</v>
      </c>
      <c r="O162" s="7" t="s">
        <v>40</v>
      </c>
      <c r="P162" s="8"/>
      <c r="Q162" s="13" t="s">
        <v>25</v>
      </c>
    </row>
    <row r="163" customFormat="false" ht="15" hidden="false" customHeight="false" outlineLevel="0" collapsed="false">
      <c r="A163" s="14" t="s">
        <v>267</v>
      </c>
      <c r="B163" s="14" t="s">
        <v>38</v>
      </c>
      <c r="C163" s="14" t="s">
        <v>6</v>
      </c>
      <c r="D163" s="15" t="s">
        <v>265</v>
      </c>
      <c r="E163" s="14"/>
      <c r="F163" s="15"/>
      <c r="G163" s="14" t="s">
        <v>167</v>
      </c>
      <c r="H163" s="16" t="n">
        <v>7.7</v>
      </c>
      <c r="I163" s="17" t="n">
        <v>34.632</v>
      </c>
      <c r="J163" s="18" t="n">
        <v>421066.893</v>
      </c>
      <c r="K163" s="18" t="n">
        <v>2044646.834</v>
      </c>
      <c r="L163" s="19" t="n">
        <v>18.490767</v>
      </c>
      <c r="M163" s="19" t="n">
        <v>-69.7476969</v>
      </c>
      <c r="N163" s="14" t="n">
        <v>158</v>
      </c>
      <c r="O163" s="14" t="s">
        <v>40</v>
      </c>
      <c r="P163" s="15"/>
      <c r="Q163" s="20" t="s">
        <v>25</v>
      </c>
    </row>
    <row r="164" customFormat="false" ht="15" hidden="false" customHeight="false" outlineLevel="0" collapsed="false">
      <c r="A164" s="7" t="s">
        <v>268</v>
      </c>
      <c r="B164" s="7" t="s">
        <v>38</v>
      </c>
      <c r="C164" s="7" t="s">
        <v>6</v>
      </c>
      <c r="D164" s="8" t="s">
        <v>265</v>
      </c>
      <c r="E164" s="7"/>
      <c r="F164" s="8"/>
      <c r="G164" s="7" t="s">
        <v>167</v>
      </c>
      <c r="H164" s="9" t="n">
        <v>7.9</v>
      </c>
      <c r="I164" s="10" t="n">
        <v>34.368</v>
      </c>
      <c r="J164" s="11" t="n">
        <v>421081.838</v>
      </c>
      <c r="K164" s="11" t="n">
        <v>2044745.161</v>
      </c>
      <c r="L164" s="12" t="n">
        <v>18.4916562</v>
      </c>
      <c r="M164" s="12" t="n">
        <v>-69.7475592</v>
      </c>
      <c r="N164" s="7" t="n">
        <v>159</v>
      </c>
      <c r="O164" s="7" t="s">
        <v>40</v>
      </c>
      <c r="P164" s="8"/>
      <c r="Q164" s="13" t="s">
        <v>25</v>
      </c>
    </row>
    <row r="165" customFormat="false" ht="15" hidden="false" customHeight="false" outlineLevel="0" collapsed="false">
      <c r="A165" s="14" t="s">
        <v>269</v>
      </c>
      <c r="B165" s="14" t="s">
        <v>38</v>
      </c>
      <c r="C165" s="14" t="s">
        <v>6</v>
      </c>
      <c r="D165" s="15" t="s">
        <v>265</v>
      </c>
      <c r="E165" s="14"/>
      <c r="F165" s="15"/>
      <c r="G165" s="14" t="s">
        <v>190</v>
      </c>
      <c r="H165" s="16" t="n">
        <v>3.3</v>
      </c>
      <c r="I165" s="17" t="n">
        <v>34.114</v>
      </c>
      <c r="J165" s="18" t="n">
        <v>421071.864</v>
      </c>
      <c r="K165" s="18" t="n">
        <v>2044746.763</v>
      </c>
      <c r="L165" s="19" t="n">
        <v>18.4916703</v>
      </c>
      <c r="M165" s="19" t="n">
        <v>-69.7476537</v>
      </c>
      <c r="N165" s="14" t="n">
        <v>160</v>
      </c>
      <c r="O165" s="14" t="s">
        <v>40</v>
      </c>
      <c r="P165" s="15"/>
      <c r="Q165" s="20" t="s">
        <v>25</v>
      </c>
    </row>
    <row r="166" customFormat="false" ht="15" hidden="false" customHeight="false" outlineLevel="0" collapsed="false">
      <c r="A166" s="7" t="s">
        <v>270</v>
      </c>
      <c r="B166" s="7" t="s">
        <v>38</v>
      </c>
      <c r="C166" s="7" t="s">
        <v>6</v>
      </c>
      <c r="D166" s="8" t="s">
        <v>265</v>
      </c>
      <c r="E166" s="7"/>
      <c r="F166" s="8"/>
      <c r="G166" s="7" t="s">
        <v>167</v>
      </c>
      <c r="H166" s="9" t="n">
        <v>7.7</v>
      </c>
      <c r="I166" s="10" t="n">
        <v>33.773</v>
      </c>
      <c r="J166" s="11" t="n">
        <v>421092.559</v>
      </c>
      <c r="K166" s="11" t="n">
        <v>2044813.98</v>
      </c>
      <c r="L166" s="12" t="n">
        <v>18.4922786</v>
      </c>
      <c r="M166" s="12" t="n">
        <v>-69.7474603</v>
      </c>
      <c r="N166" s="7" t="n">
        <v>161</v>
      </c>
      <c r="O166" s="7" t="s">
        <v>40</v>
      </c>
      <c r="P166" s="8"/>
      <c r="Q166" s="13" t="s">
        <v>25</v>
      </c>
    </row>
    <row r="167" customFormat="false" ht="15" hidden="false" customHeight="false" outlineLevel="0" collapsed="false">
      <c r="A167" s="14" t="s">
        <v>271</v>
      </c>
      <c r="B167" s="14" t="s">
        <v>38</v>
      </c>
      <c r="C167" s="14" t="s">
        <v>6</v>
      </c>
      <c r="D167" s="15" t="s">
        <v>265</v>
      </c>
      <c r="E167" s="14"/>
      <c r="F167" s="15"/>
      <c r="G167" s="14" t="s">
        <v>190</v>
      </c>
      <c r="H167" s="16" t="n">
        <v>3.4</v>
      </c>
      <c r="I167" s="17" t="n">
        <v>33.904</v>
      </c>
      <c r="J167" s="18" t="n">
        <v>421082.597</v>
      </c>
      <c r="K167" s="18" t="n">
        <v>2044816.23</v>
      </c>
      <c r="L167" s="19" t="n">
        <v>18.4922985</v>
      </c>
      <c r="M167" s="19" t="n">
        <v>-69.7475548</v>
      </c>
      <c r="N167" s="14" t="n">
        <v>162</v>
      </c>
      <c r="O167" s="14" t="s">
        <v>40</v>
      </c>
      <c r="P167" s="15"/>
      <c r="Q167" s="20" t="s">
        <v>25</v>
      </c>
    </row>
    <row r="168" customFormat="false" ht="15" hidden="false" customHeight="false" outlineLevel="0" collapsed="false">
      <c r="A168" s="7" t="s">
        <v>272</v>
      </c>
      <c r="B168" s="7" t="s">
        <v>21</v>
      </c>
      <c r="C168" s="7" t="s">
        <v>6</v>
      </c>
      <c r="D168" s="8" t="s">
        <v>192</v>
      </c>
      <c r="E168" s="7"/>
      <c r="F168" s="8"/>
      <c r="G168" s="7" t="s">
        <v>273</v>
      </c>
      <c r="H168" s="9" t="n">
        <v>6.7</v>
      </c>
      <c r="I168" s="10" t="n">
        <v>32.644</v>
      </c>
      <c r="J168" s="11" t="n">
        <v>421051.44</v>
      </c>
      <c r="K168" s="11" t="n">
        <v>2044953.064</v>
      </c>
      <c r="L168" s="12" t="n">
        <v>18.493534</v>
      </c>
      <c r="M168" s="12" t="n">
        <v>-69.7478553</v>
      </c>
      <c r="N168" s="7" t="n">
        <v>163</v>
      </c>
      <c r="O168" s="7" t="s">
        <v>24</v>
      </c>
      <c r="P168" s="8"/>
      <c r="Q168" s="13" t="s">
        <v>25</v>
      </c>
    </row>
    <row r="169" customFormat="false" ht="15" hidden="false" customHeight="false" outlineLevel="0" collapsed="false">
      <c r="A169" s="14" t="s">
        <v>274</v>
      </c>
      <c r="B169" s="14" t="s">
        <v>21</v>
      </c>
      <c r="C169" s="14" t="s">
        <v>6</v>
      </c>
      <c r="D169" s="15" t="s">
        <v>192</v>
      </c>
      <c r="E169" s="14"/>
      <c r="F169" s="15"/>
      <c r="G169" s="14" t="s">
        <v>188</v>
      </c>
      <c r="H169" s="16" t="n">
        <v>6.4</v>
      </c>
      <c r="I169" s="17" t="n">
        <v>32.388</v>
      </c>
      <c r="J169" s="18" t="n">
        <v>421045.261</v>
      </c>
      <c r="K169" s="18" t="n">
        <v>2044942.423</v>
      </c>
      <c r="L169" s="19" t="n">
        <v>18.4934376</v>
      </c>
      <c r="M169" s="19" t="n">
        <v>-69.7479134</v>
      </c>
      <c r="N169" s="14" t="n">
        <v>164</v>
      </c>
      <c r="O169" s="14" t="s">
        <v>24</v>
      </c>
      <c r="P169" s="15"/>
      <c r="Q169" s="20" t="s">
        <v>25</v>
      </c>
    </row>
    <row r="170" customFormat="false" ht="15" hidden="false" customHeight="false" outlineLevel="0" collapsed="false">
      <c r="A170" s="7" t="s">
        <v>275</v>
      </c>
      <c r="B170" s="7" t="s">
        <v>21</v>
      </c>
      <c r="C170" s="7" t="s">
        <v>6</v>
      </c>
      <c r="D170" s="8" t="s">
        <v>199</v>
      </c>
      <c r="E170" s="7"/>
      <c r="F170" s="8"/>
      <c r="G170" s="7" t="s">
        <v>212</v>
      </c>
      <c r="H170" s="9" t="n">
        <v>1.2</v>
      </c>
      <c r="I170" s="10" t="n">
        <v>33.375</v>
      </c>
      <c r="J170" s="11" t="n">
        <v>420726.216</v>
      </c>
      <c r="K170" s="11" t="n">
        <v>2044779.738</v>
      </c>
      <c r="L170" s="12" t="n">
        <v>18.4919554</v>
      </c>
      <c r="M170" s="12" t="n">
        <v>-69.750929</v>
      </c>
      <c r="N170" s="7" t="n">
        <v>165</v>
      </c>
      <c r="O170" s="7" t="s">
        <v>24</v>
      </c>
      <c r="P170" s="8"/>
      <c r="Q170" s="13" t="s">
        <v>25</v>
      </c>
    </row>
    <row r="171" customFormat="false" ht="15" hidden="false" customHeight="false" outlineLevel="0" collapsed="false">
      <c r="A171" s="14" t="s">
        <v>276</v>
      </c>
      <c r="B171" s="14" t="s">
        <v>21</v>
      </c>
      <c r="C171" s="14" t="s">
        <v>6</v>
      </c>
      <c r="D171" s="15" t="s">
        <v>199</v>
      </c>
      <c r="E171" s="14"/>
      <c r="F171" s="15"/>
      <c r="G171" s="14" t="s">
        <v>194</v>
      </c>
      <c r="H171" s="16" t="n">
        <v>6</v>
      </c>
      <c r="I171" s="17" t="n">
        <v>33.377</v>
      </c>
      <c r="J171" s="18" t="n">
        <v>420741.724</v>
      </c>
      <c r="K171" s="18" t="n">
        <v>2044780.483</v>
      </c>
      <c r="L171" s="19" t="n">
        <v>18.4919627</v>
      </c>
      <c r="M171" s="19" t="n">
        <v>-69.7507821</v>
      </c>
      <c r="N171" s="14" t="n">
        <v>166</v>
      </c>
      <c r="O171" s="14" t="s">
        <v>24</v>
      </c>
      <c r="P171" s="15"/>
      <c r="Q171" s="20" t="s">
        <v>25</v>
      </c>
    </row>
    <row r="172" customFormat="false" ht="15" hidden="false" customHeight="false" outlineLevel="0" collapsed="false">
      <c r="A172" s="7" t="s">
        <v>277</v>
      </c>
      <c r="B172" s="7" t="s">
        <v>278</v>
      </c>
      <c r="C172" s="7" t="s">
        <v>6</v>
      </c>
      <c r="D172" s="8" t="s">
        <v>199</v>
      </c>
      <c r="E172" s="7"/>
      <c r="F172" s="8"/>
      <c r="G172" s="7" t="s">
        <v>212</v>
      </c>
      <c r="H172" s="9" t="n">
        <v>1.4</v>
      </c>
      <c r="I172" s="10" t="n">
        <v>33.638</v>
      </c>
      <c r="J172" s="11" t="n">
        <v>420728.485</v>
      </c>
      <c r="K172" s="11" t="n">
        <v>2044735.172</v>
      </c>
      <c r="L172" s="12" t="n">
        <v>18.4915527</v>
      </c>
      <c r="M172" s="12" t="n">
        <v>-69.7509057</v>
      </c>
      <c r="N172" s="7" t="n">
        <v>167</v>
      </c>
      <c r="O172" s="7" t="s">
        <v>279</v>
      </c>
      <c r="P172" s="8" t="s">
        <v>280</v>
      </c>
      <c r="Q172" s="13" t="s">
        <v>25</v>
      </c>
    </row>
    <row r="173" customFormat="false" ht="15" hidden="false" customHeight="false" outlineLevel="0" collapsed="false">
      <c r="A173" s="14" t="s">
        <v>281</v>
      </c>
      <c r="B173" s="14" t="s">
        <v>278</v>
      </c>
      <c r="C173" s="14" t="s">
        <v>6</v>
      </c>
      <c r="D173" s="15" t="s">
        <v>199</v>
      </c>
      <c r="E173" s="14"/>
      <c r="F173" s="15"/>
      <c r="G173" s="14" t="s">
        <v>194</v>
      </c>
      <c r="H173" s="16" t="n">
        <v>5.9</v>
      </c>
      <c r="I173" s="17" t="n">
        <v>33.761</v>
      </c>
      <c r="J173" s="18" t="n">
        <v>420744.059</v>
      </c>
      <c r="K173" s="18" t="n">
        <v>2044733.49</v>
      </c>
      <c r="L173" s="19" t="n">
        <v>18.4915381</v>
      </c>
      <c r="M173" s="19" t="n">
        <v>-69.7507581</v>
      </c>
      <c r="N173" s="14" t="n">
        <v>168</v>
      </c>
      <c r="O173" s="14" t="s">
        <v>279</v>
      </c>
      <c r="P173" s="15" t="s">
        <v>280</v>
      </c>
      <c r="Q173" s="20" t="s">
        <v>25</v>
      </c>
    </row>
    <row r="174" customFormat="false" ht="15" hidden="false" customHeight="false" outlineLevel="0" collapsed="false">
      <c r="A174" s="7" t="s">
        <v>282</v>
      </c>
      <c r="B174" s="7" t="s">
        <v>278</v>
      </c>
      <c r="C174" s="7" t="s">
        <v>6</v>
      </c>
      <c r="D174" s="8" t="s">
        <v>199</v>
      </c>
      <c r="E174" s="7"/>
      <c r="F174" s="8"/>
      <c r="G174" s="7" t="s">
        <v>194</v>
      </c>
      <c r="H174" s="9" t="n">
        <v>5.8</v>
      </c>
      <c r="I174" s="10" t="n">
        <v>34.059</v>
      </c>
      <c r="J174" s="11" t="n">
        <v>420745.756</v>
      </c>
      <c r="K174" s="11" t="n">
        <v>2044700.036</v>
      </c>
      <c r="L174" s="12" t="n">
        <v>18.4912358</v>
      </c>
      <c r="M174" s="12" t="n">
        <v>-69.7507408</v>
      </c>
      <c r="N174" s="7" t="n">
        <v>169</v>
      </c>
      <c r="O174" s="7" t="s">
        <v>279</v>
      </c>
      <c r="P174" s="8" t="s">
        <v>280</v>
      </c>
      <c r="Q174" s="13" t="s">
        <v>25</v>
      </c>
    </row>
    <row r="175" customFormat="false" ht="15" hidden="false" customHeight="false" outlineLevel="0" collapsed="false">
      <c r="A175" s="14" t="s">
        <v>283</v>
      </c>
      <c r="B175" s="14" t="s">
        <v>278</v>
      </c>
      <c r="C175" s="14" t="s">
        <v>6</v>
      </c>
      <c r="D175" s="15" t="s">
        <v>199</v>
      </c>
      <c r="E175" s="14"/>
      <c r="F175" s="15"/>
      <c r="G175" s="14" t="s">
        <v>212</v>
      </c>
      <c r="H175" s="16" t="n">
        <v>1.4</v>
      </c>
      <c r="I175" s="17" t="n">
        <v>33.949</v>
      </c>
      <c r="J175" s="18" t="n">
        <v>420730.22</v>
      </c>
      <c r="K175" s="18" t="n">
        <v>2044698.5</v>
      </c>
      <c r="L175" s="19" t="n">
        <v>18.4912213</v>
      </c>
      <c r="M175" s="19" t="n">
        <v>-69.7508879</v>
      </c>
      <c r="N175" s="14" t="n">
        <v>170</v>
      </c>
      <c r="O175" s="14" t="s">
        <v>279</v>
      </c>
      <c r="P175" s="15" t="s">
        <v>280</v>
      </c>
      <c r="Q175" s="20" t="s">
        <v>25</v>
      </c>
    </row>
    <row r="176" customFormat="false" ht="15" hidden="false" customHeight="false" outlineLevel="0" collapsed="false">
      <c r="A176" s="7" t="s">
        <v>284</v>
      </c>
      <c r="B176" s="7" t="s">
        <v>278</v>
      </c>
      <c r="C176" s="7" t="s">
        <v>6</v>
      </c>
      <c r="D176" s="8" t="s">
        <v>199</v>
      </c>
      <c r="E176" s="7"/>
      <c r="F176" s="8"/>
      <c r="G176" s="7" t="s">
        <v>285</v>
      </c>
      <c r="H176" s="9" t="n">
        <v>21.1</v>
      </c>
      <c r="I176" s="10" t="n">
        <v>34.176</v>
      </c>
      <c r="J176" s="11" t="n">
        <v>420732.031</v>
      </c>
      <c r="K176" s="11" t="n">
        <v>2044663.917</v>
      </c>
      <c r="L176" s="12" t="n">
        <v>18.4909089</v>
      </c>
      <c r="M176" s="12" t="n">
        <v>-69.7508693</v>
      </c>
      <c r="N176" s="7" t="n">
        <v>171</v>
      </c>
      <c r="O176" s="7" t="s">
        <v>279</v>
      </c>
      <c r="P176" s="8" t="s">
        <v>280</v>
      </c>
      <c r="Q176" s="13" t="s">
        <v>25</v>
      </c>
    </row>
    <row r="177" customFormat="false" ht="15" hidden="false" customHeight="false" outlineLevel="0" collapsed="false">
      <c r="A177" s="14" t="s">
        <v>286</v>
      </c>
      <c r="B177" s="14" t="s">
        <v>38</v>
      </c>
      <c r="C177" s="14" t="s">
        <v>6</v>
      </c>
      <c r="D177" s="15" t="s">
        <v>199</v>
      </c>
      <c r="E177" s="14"/>
      <c r="F177" s="15"/>
      <c r="G177" s="14" t="s">
        <v>287</v>
      </c>
      <c r="H177" s="16" t="n">
        <v>6</v>
      </c>
      <c r="I177" s="17" t="n">
        <v>34.098</v>
      </c>
      <c r="J177" s="18" t="n">
        <v>420747.48</v>
      </c>
      <c r="K177" s="18" t="n">
        <v>2044666.857</v>
      </c>
      <c r="L177" s="19" t="n">
        <v>18.490936</v>
      </c>
      <c r="M177" s="19" t="n">
        <v>-69.7507231</v>
      </c>
      <c r="N177" s="14" t="n">
        <v>172</v>
      </c>
      <c r="O177" s="14" t="s">
        <v>40</v>
      </c>
      <c r="P177" s="15"/>
      <c r="Q177" s="20" t="s">
        <v>25</v>
      </c>
    </row>
    <row r="178" customFormat="false" ht="15" hidden="false" customHeight="false" outlineLevel="0" collapsed="false">
      <c r="A178" s="7" t="s">
        <v>288</v>
      </c>
      <c r="B178" s="7" t="s">
        <v>38</v>
      </c>
      <c r="C178" s="7" t="s">
        <v>6</v>
      </c>
      <c r="D178" s="8" t="s">
        <v>199</v>
      </c>
      <c r="E178" s="7"/>
      <c r="F178" s="8"/>
      <c r="G178" s="7" t="s">
        <v>289</v>
      </c>
      <c r="H178" s="9" t="n">
        <v>1.7</v>
      </c>
      <c r="I178" s="10" t="n">
        <v>34.534</v>
      </c>
      <c r="J178" s="11" t="n">
        <v>420733.782</v>
      </c>
      <c r="K178" s="11" t="n">
        <v>2044629.75</v>
      </c>
      <c r="L178" s="12" t="n">
        <v>18.4906002</v>
      </c>
      <c r="M178" s="12" t="n">
        <v>-69.7508514</v>
      </c>
      <c r="N178" s="7" t="n">
        <v>173</v>
      </c>
      <c r="O178" s="7" t="s">
        <v>40</v>
      </c>
      <c r="P178" s="8"/>
      <c r="Q178" s="13" t="s">
        <v>25</v>
      </c>
    </row>
    <row r="179" customFormat="false" ht="15" hidden="false" customHeight="false" outlineLevel="0" collapsed="false">
      <c r="A179" s="14" t="s">
        <v>290</v>
      </c>
      <c r="B179" s="14" t="s">
        <v>38</v>
      </c>
      <c r="C179" s="14" t="s">
        <v>6</v>
      </c>
      <c r="D179" s="15" t="s">
        <v>199</v>
      </c>
      <c r="E179" s="14"/>
      <c r="F179" s="15"/>
      <c r="G179" s="14" t="s">
        <v>285</v>
      </c>
      <c r="H179" s="16" t="n">
        <v>5</v>
      </c>
      <c r="I179" s="17" t="n">
        <v>34.413</v>
      </c>
      <c r="J179" s="18" t="n">
        <v>420749.107</v>
      </c>
      <c r="K179" s="18" t="n">
        <v>2044630.41</v>
      </c>
      <c r="L179" s="19" t="n">
        <v>18.4906067</v>
      </c>
      <c r="M179" s="19" t="n">
        <v>-69.7507063</v>
      </c>
      <c r="N179" s="14" t="n">
        <v>174</v>
      </c>
      <c r="O179" s="14" t="s">
        <v>40</v>
      </c>
      <c r="P179" s="15"/>
      <c r="Q179" s="20" t="s">
        <v>25</v>
      </c>
    </row>
    <row r="180" customFormat="false" ht="15" hidden="false" customHeight="false" outlineLevel="0" collapsed="false">
      <c r="A180" s="7" t="s">
        <v>291</v>
      </c>
      <c r="B180" s="7" t="s">
        <v>38</v>
      </c>
      <c r="C180" s="7" t="s">
        <v>6</v>
      </c>
      <c r="D180" s="8" t="s">
        <v>199</v>
      </c>
      <c r="E180" s="7"/>
      <c r="F180" s="8"/>
      <c r="G180" s="7" t="s">
        <v>201</v>
      </c>
      <c r="H180" s="9" t="n">
        <v>7.4</v>
      </c>
      <c r="I180" s="10" t="n">
        <v>35.528</v>
      </c>
      <c r="J180" s="11" t="n">
        <v>420741.373</v>
      </c>
      <c r="K180" s="11" t="n">
        <v>2044591.235</v>
      </c>
      <c r="L180" s="12" t="n">
        <v>18.4902524</v>
      </c>
      <c r="M180" s="12" t="n">
        <v>-69.750778</v>
      </c>
      <c r="N180" s="7" t="n">
        <v>175</v>
      </c>
      <c r="O180" s="7" t="s">
        <v>40</v>
      </c>
      <c r="P180" s="8"/>
      <c r="Q180" s="13" t="s">
        <v>25</v>
      </c>
    </row>
    <row r="181" customFormat="false" ht="15" hidden="false" customHeight="false" outlineLevel="0" collapsed="false">
      <c r="A181" s="14" t="s">
        <v>292</v>
      </c>
      <c r="B181" s="14" t="s">
        <v>38</v>
      </c>
      <c r="C181" s="14" t="s">
        <v>6</v>
      </c>
      <c r="D181" s="15" t="s">
        <v>199</v>
      </c>
      <c r="E181" s="14"/>
      <c r="F181" s="15"/>
      <c r="G181" s="14" t="s">
        <v>289</v>
      </c>
      <c r="H181" s="16" t="n">
        <v>1.6</v>
      </c>
      <c r="I181" s="17" t="n">
        <v>34.694</v>
      </c>
      <c r="J181" s="18" t="n">
        <v>420735.49</v>
      </c>
      <c r="K181" s="18" t="n">
        <v>2044592.658</v>
      </c>
      <c r="L181" s="19" t="n">
        <v>18.490265</v>
      </c>
      <c r="M181" s="19" t="n">
        <v>-69.7508338</v>
      </c>
      <c r="N181" s="14" t="n">
        <v>176</v>
      </c>
      <c r="O181" s="14" t="s">
        <v>40</v>
      </c>
      <c r="P181" s="15"/>
      <c r="Q181" s="20" t="s">
        <v>25</v>
      </c>
    </row>
    <row r="182" customFormat="false" ht="15" hidden="false" customHeight="false" outlineLevel="0" collapsed="false">
      <c r="A182" s="7" t="s">
        <v>293</v>
      </c>
      <c r="B182" s="7" t="s">
        <v>38</v>
      </c>
      <c r="C182" s="7" t="s">
        <v>6</v>
      </c>
      <c r="D182" s="8" t="s">
        <v>199</v>
      </c>
      <c r="E182" s="7"/>
      <c r="F182" s="8"/>
      <c r="G182" s="7" t="s">
        <v>201</v>
      </c>
      <c r="H182" s="9" t="n">
        <v>1.6</v>
      </c>
      <c r="I182" s="10" t="n">
        <v>34.696</v>
      </c>
      <c r="J182" s="11" t="n">
        <v>420737.153</v>
      </c>
      <c r="K182" s="11" t="n">
        <v>2044558.182</v>
      </c>
      <c r="L182" s="12" t="n">
        <v>18.4899535</v>
      </c>
      <c r="M182" s="12" t="n">
        <v>-69.7508167</v>
      </c>
      <c r="N182" s="7" t="n">
        <v>177</v>
      </c>
      <c r="O182" s="7" t="s">
        <v>40</v>
      </c>
      <c r="P182" s="8"/>
      <c r="Q182" s="13" t="s">
        <v>25</v>
      </c>
    </row>
    <row r="183" customFormat="false" ht="15" hidden="false" customHeight="false" outlineLevel="0" collapsed="false">
      <c r="A183" s="14" t="s">
        <v>294</v>
      </c>
      <c r="B183" s="14" t="s">
        <v>38</v>
      </c>
      <c r="C183" s="14" t="s">
        <v>6</v>
      </c>
      <c r="D183" s="15" t="s">
        <v>199</v>
      </c>
      <c r="E183" s="14"/>
      <c r="F183" s="15"/>
      <c r="G183" s="14" t="s">
        <v>215</v>
      </c>
      <c r="H183" s="16" t="n">
        <v>4.8</v>
      </c>
      <c r="I183" s="17" t="n">
        <v>34.944</v>
      </c>
      <c r="J183" s="18" t="n">
        <v>420752.653</v>
      </c>
      <c r="K183" s="18" t="n">
        <v>2044559.862</v>
      </c>
      <c r="L183" s="19" t="n">
        <v>18.4899693</v>
      </c>
      <c r="M183" s="19" t="n">
        <v>-69.7506699</v>
      </c>
      <c r="N183" s="14" t="n">
        <v>178</v>
      </c>
      <c r="O183" s="14" t="s">
        <v>40</v>
      </c>
      <c r="P183" s="15"/>
      <c r="Q183" s="20" t="s">
        <v>25</v>
      </c>
    </row>
    <row r="184" customFormat="false" ht="15" hidden="false" customHeight="false" outlineLevel="0" collapsed="false">
      <c r="A184" s="7" t="s">
        <v>295</v>
      </c>
      <c r="B184" s="7" t="s">
        <v>38</v>
      </c>
      <c r="C184" s="7" t="s">
        <v>6</v>
      </c>
      <c r="D184" s="8" t="s">
        <v>199</v>
      </c>
      <c r="E184" s="7"/>
      <c r="F184" s="8"/>
      <c r="G184" s="7" t="s">
        <v>215</v>
      </c>
      <c r="H184" s="9" t="n">
        <v>4.8</v>
      </c>
      <c r="I184" s="10" t="n">
        <v>35.392</v>
      </c>
      <c r="J184" s="11" t="n">
        <v>420754.35</v>
      </c>
      <c r="K184" s="11" t="n">
        <v>2044523.66</v>
      </c>
      <c r="L184" s="12" t="n">
        <v>18.4896421</v>
      </c>
      <c r="M184" s="12" t="n">
        <v>-69.7506524</v>
      </c>
      <c r="N184" s="7" t="n">
        <v>179</v>
      </c>
      <c r="O184" s="7" t="s">
        <v>40</v>
      </c>
      <c r="P184" s="8"/>
      <c r="Q184" s="13" t="s">
        <v>25</v>
      </c>
    </row>
    <row r="185" customFormat="false" ht="15" hidden="false" customHeight="false" outlineLevel="0" collapsed="false">
      <c r="A185" s="14" t="s">
        <v>296</v>
      </c>
      <c r="B185" s="14" t="s">
        <v>38</v>
      </c>
      <c r="C185" s="14" t="s">
        <v>6</v>
      </c>
      <c r="D185" s="15" t="s">
        <v>199</v>
      </c>
      <c r="E185" s="14"/>
      <c r="F185" s="15"/>
      <c r="G185" s="14" t="s">
        <v>201</v>
      </c>
      <c r="H185" s="16" t="n">
        <v>1.8</v>
      </c>
      <c r="I185" s="17" t="n">
        <v>35.238</v>
      </c>
      <c r="J185" s="18" t="n">
        <v>420738.934</v>
      </c>
      <c r="K185" s="18" t="n">
        <v>2044522.888</v>
      </c>
      <c r="L185" s="19" t="n">
        <v>18.4896346</v>
      </c>
      <c r="M185" s="19" t="n">
        <v>-69.7507984</v>
      </c>
      <c r="N185" s="14" t="n">
        <v>180</v>
      </c>
      <c r="O185" s="14" t="s">
        <v>40</v>
      </c>
      <c r="P185" s="15"/>
      <c r="Q185" s="20" t="s">
        <v>25</v>
      </c>
    </row>
    <row r="186" customFormat="false" ht="15" hidden="false" customHeight="false" outlineLevel="0" collapsed="false">
      <c r="A186" s="7" t="s">
        <v>297</v>
      </c>
      <c r="B186" s="7" t="s">
        <v>38</v>
      </c>
      <c r="C186" s="7" t="s">
        <v>6</v>
      </c>
      <c r="D186" s="8" t="s">
        <v>199</v>
      </c>
      <c r="E186" s="7"/>
      <c r="F186" s="8"/>
      <c r="G186" s="7" t="s">
        <v>201</v>
      </c>
      <c r="H186" s="9" t="n">
        <v>1.9</v>
      </c>
      <c r="I186" s="10" t="n">
        <v>35.552</v>
      </c>
      <c r="J186" s="11" t="n">
        <v>420740.792</v>
      </c>
      <c r="K186" s="11" t="n">
        <v>2044486.577</v>
      </c>
      <c r="L186" s="12" t="n">
        <v>18.4893065</v>
      </c>
      <c r="M186" s="12" t="n">
        <v>-69.7507794</v>
      </c>
      <c r="N186" s="7" t="n">
        <v>181</v>
      </c>
      <c r="O186" s="7" t="s">
        <v>40</v>
      </c>
      <c r="P186" s="8"/>
      <c r="Q186" s="13" t="s">
        <v>25</v>
      </c>
    </row>
    <row r="187" customFormat="false" ht="15" hidden="false" customHeight="false" outlineLevel="0" collapsed="false">
      <c r="A187" s="14" t="s">
        <v>298</v>
      </c>
      <c r="B187" s="14" t="s">
        <v>38</v>
      </c>
      <c r="C187" s="14" t="s">
        <v>6</v>
      </c>
      <c r="D187" s="15" t="s">
        <v>199</v>
      </c>
      <c r="E187" s="14"/>
      <c r="F187" s="15"/>
      <c r="G187" s="14" t="s">
        <v>215</v>
      </c>
      <c r="H187" s="16" t="n">
        <v>4.7</v>
      </c>
      <c r="I187" s="17" t="n">
        <v>35.398</v>
      </c>
      <c r="J187" s="18" t="n">
        <v>420756.187</v>
      </c>
      <c r="K187" s="18" t="n">
        <v>2044487.252</v>
      </c>
      <c r="L187" s="19" t="n">
        <v>18.4893132</v>
      </c>
      <c r="M187" s="19" t="n">
        <v>-69.7506336</v>
      </c>
      <c r="N187" s="14" t="n">
        <v>182</v>
      </c>
      <c r="O187" s="14" t="s">
        <v>40</v>
      </c>
      <c r="P187" s="15"/>
      <c r="Q187" s="20" t="s">
        <v>25</v>
      </c>
    </row>
    <row r="188" customFormat="false" ht="15" hidden="false" customHeight="false" outlineLevel="0" collapsed="false">
      <c r="A188" s="7" t="s">
        <v>299</v>
      </c>
      <c r="B188" s="7" t="s">
        <v>38</v>
      </c>
      <c r="C188" s="7" t="s">
        <v>6</v>
      </c>
      <c r="D188" s="8" t="s">
        <v>199</v>
      </c>
      <c r="E188" s="7"/>
      <c r="F188" s="8"/>
      <c r="G188" s="7" t="s">
        <v>215</v>
      </c>
      <c r="H188" s="9" t="n">
        <v>4.5</v>
      </c>
      <c r="I188" s="10" t="n">
        <v>35.59</v>
      </c>
      <c r="J188" s="11" t="n">
        <v>420758.037</v>
      </c>
      <c r="K188" s="11" t="n">
        <v>2044452.431</v>
      </c>
      <c r="L188" s="12" t="n">
        <v>18.4889986</v>
      </c>
      <c r="M188" s="12" t="n">
        <v>-69.7506147</v>
      </c>
      <c r="N188" s="7" t="n">
        <v>183</v>
      </c>
      <c r="O188" s="7" t="s">
        <v>40</v>
      </c>
      <c r="P188" s="8"/>
      <c r="Q188" s="13" t="s">
        <v>25</v>
      </c>
    </row>
    <row r="189" customFormat="false" ht="15" hidden="false" customHeight="false" outlineLevel="0" collapsed="false">
      <c r="A189" s="14" t="s">
        <v>300</v>
      </c>
      <c r="B189" s="14" t="s">
        <v>38</v>
      </c>
      <c r="C189" s="14" t="s">
        <v>6</v>
      </c>
      <c r="D189" s="15" t="s">
        <v>199</v>
      </c>
      <c r="E189" s="14"/>
      <c r="F189" s="15"/>
      <c r="G189" s="14" t="s">
        <v>201</v>
      </c>
      <c r="H189" s="16" t="n">
        <v>2</v>
      </c>
      <c r="I189" s="17" t="n">
        <v>35.707</v>
      </c>
      <c r="J189" s="18" t="n">
        <v>420742.525</v>
      </c>
      <c r="K189" s="18" t="n">
        <v>2044451.763</v>
      </c>
      <c r="L189" s="19" t="n">
        <v>18.4889919</v>
      </c>
      <c r="M189" s="19" t="n">
        <v>-69.7507616</v>
      </c>
      <c r="N189" s="14" t="n">
        <v>184</v>
      </c>
      <c r="O189" s="14" t="s">
        <v>40</v>
      </c>
      <c r="P189" s="15"/>
      <c r="Q189" s="20" t="s">
        <v>25</v>
      </c>
    </row>
    <row r="190" customFormat="false" ht="15" hidden="false" customHeight="false" outlineLevel="0" collapsed="false">
      <c r="A190" s="7" t="s">
        <v>301</v>
      </c>
      <c r="B190" s="7" t="s">
        <v>38</v>
      </c>
      <c r="C190" s="7" t="s">
        <v>6</v>
      </c>
      <c r="D190" s="8" t="s">
        <v>150</v>
      </c>
      <c r="E190" s="7"/>
      <c r="F190" s="8"/>
      <c r="G190" s="7" t="s">
        <v>201</v>
      </c>
      <c r="H190" s="9" t="n">
        <v>5.3</v>
      </c>
      <c r="I190" s="10" t="n">
        <v>35.638</v>
      </c>
      <c r="J190" s="11" t="n">
        <v>420742.062</v>
      </c>
      <c r="K190" s="11" t="n">
        <v>2044413.255</v>
      </c>
      <c r="L190" s="12" t="n">
        <v>18.4886439</v>
      </c>
      <c r="M190" s="12" t="n">
        <v>-69.7507645</v>
      </c>
      <c r="N190" s="7" t="n">
        <v>185</v>
      </c>
      <c r="O190" s="7" t="s">
        <v>40</v>
      </c>
      <c r="P190" s="8"/>
      <c r="Q190" s="13" t="s">
        <v>25</v>
      </c>
    </row>
    <row r="191" customFormat="false" ht="15" hidden="false" customHeight="false" outlineLevel="0" collapsed="false">
      <c r="A191" s="14" t="s">
        <v>302</v>
      </c>
      <c r="B191" s="14" t="s">
        <v>38</v>
      </c>
      <c r="C191" s="14" t="s">
        <v>6</v>
      </c>
      <c r="D191" s="15" t="s">
        <v>150</v>
      </c>
      <c r="E191" s="14"/>
      <c r="F191" s="15"/>
      <c r="G191" s="14" t="s">
        <v>215</v>
      </c>
      <c r="H191" s="16" t="n">
        <v>6.9</v>
      </c>
      <c r="I191" s="17" t="n">
        <v>35.471</v>
      </c>
      <c r="J191" s="18" t="n">
        <v>420762.267</v>
      </c>
      <c r="K191" s="18" t="n">
        <v>2044414.323</v>
      </c>
      <c r="L191" s="19" t="n">
        <v>18.4886543</v>
      </c>
      <c r="M191" s="19" t="n">
        <v>-69.7505731</v>
      </c>
      <c r="N191" s="14" t="n">
        <v>186</v>
      </c>
      <c r="O191" s="14" t="s">
        <v>40</v>
      </c>
      <c r="P191" s="15"/>
      <c r="Q191" s="20" t="s">
        <v>25</v>
      </c>
    </row>
    <row r="192" customFormat="false" ht="15" hidden="false" customHeight="false" outlineLevel="0" collapsed="false">
      <c r="A192" s="7" t="s">
        <v>303</v>
      </c>
      <c r="B192" s="7" t="s">
        <v>38</v>
      </c>
      <c r="C192" s="7" t="s">
        <v>6</v>
      </c>
      <c r="D192" s="8" t="s">
        <v>199</v>
      </c>
      <c r="E192" s="7"/>
      <c r="F192" s="8"/>
      <c r="G192" s="7" t="s">
        <v>225</v>
      </c>
      <c r="H192" s="9" t="n">
        <v>4.1</v>
      </c>
      <c r="I192" s="10" t="n">
        <v>35.275</v>
      </c>
      <c r="J192" s="11" t="n">
        <v>420763.775</v>
      </c>
      <c r="K192" s="11" t="n">
        <v>2044339.099</v>
      </c>
      <c r="L192" s="12" t="n">
        <v>18.4879745</v>
      </c>
      <c r="M192" s="12" t="n">
        <v>-69.7505559</v>
      </c>
      <c r="N192" s="7" t="n">
        <v>187</v>
      </c>
      <c r="O192" s="7" t="s">
        <v>40</v>
      </c>
      <c r="P192" s="8"/>
      <c r="Q192" s="13" t="s">
        <v>25</v>
      </c>
    </row>
    <row r="193" customFormat="false" ht="15" hidden="false" customHeight="false" outlineLevel="0" collapsed="false">
      <c r="A193" s="14" t="s">
        <v>304</v>
      </c>
      <c r="B193" s="14" t="s">
        <v>38</v>
      </c>
      <c r="C193" s="14" t="s">
        <v>6</v>
      </c>
      <c r="D193" s="15" t="s">
        <v>199</v>
      </c>
      <c r="E193" s="14"/>
      <c r="F193" s="15"/>
      <c r="G193" s="14" t="s">
        <v>305</v>
      </c>
      <c r="H193" s="16" t="n">
        <v>2.1</v>
      </c>
      <c r="I193" s="17" t="n">
        <v>34.888</v>
      </c>
      <c r="J193" s="18" t="n">
        <v>420748.035</v>
      </c>
      <c r="K193" s="18" t="n">
        <v>2044338.327</v>
      </c>
      <c r="L193" s="19" t="n">
        <v>18.487967</v>
      </c>
      <c r="M193" s="19" t="n">
        <v>-69.7507049</v>
      </c>
      <c r="N193" s="14" t="n">
        <v>188</v>
      </c>
      <c r="O193" s="14" t="s">
        <v>40</v>
      </c>
      <c r="P193" s="15"/>
      <c r="Q193" s="20" t="s">
        <v>25</v>
      </c>
    </row>
    <row r="194" customFormat="false" ht="15" hidden="false" customHeight="false" outlineLevel="0" collapsed="false">
      <c r="A194" s="7" t="s">
        <v>306</v>
      </c>
      <c r="B194" s="7" t="s">
        <v>21</v>
      </c>
      <c r="C194" s="7" t="s">
        <v>6</v>
      </c>
      <c r="D194" s="8" t="s">
        <v>199</v>
      </c>
      <c r="E194" s="7"/>
      <c r="F194" s="8"/>
      <c r="G194" s="7" t="s">
        <v>305</v>
      </c>
      <c r="H194" s="9" t="n">
        <v>2.4</v>
      </c>
      <c r="I194" s="10" t="n">
        <v>33.579</v>
      </c>
      <c r="J194" s="11" t="n">
        <v>420753.254</v>
      </c>
      <c r="K194" s="11" t="n">
        <v>2044234.788</v>
      </c>
      <c r="L194" s="12" t="n">
        <v>18.4870315</v>
      </c>
      <c r="M194" s="12" t="n">
        <v>-69.7506514</v>
      </c>
      <c r="N194" s="7" t="n">
        <v>189</v>
      </c>
      <c r="O194" s="7" t="s">
        <v>24</v>
      </c>
      <c r="P194" s="8"/>
      <c r="Q194" s="13" t="s">
        <v>25</v>
      </c>
    </row>
    <row r="195" customFormat="false" ht="15" hidden="false" customHeight="false" outlineLevel="0" collapsed="false">
      <c r="A195" s="14" t="s">
        <v>307</v>
      </c>
      <c r="B195" s="14" t="s">
        <v>21</v>
      </c>
      <c r="C195" s="14" t="s">
        <v>6</v>
      </c>
      <c r="D195" s="15" t="s">
        <v>199</v>
      </c>
      <c r="E195" s="14"/>
      <c r="F195" s="15"/>
      <c r="G195" s="14" t="s">
        <v>308</v>
      </c>
      <c r="H195" s="16" t="n">
        <v>4</v>
      </c>
      <c r="I195" s="17" t="n">
        <v>33.656</v>
      </c>
      <c r="J195" s="18" t="n">
        <v>420768.799</v>
      </c>
      <c r="K195" s="18" t="n">
        <v>2044235.617</v>
      </c>
      <c r="L195" s="19" t="n">
        <v>18.4870395</v>
      </c>
      <c r="M195" s="19" t="n">
        <v>-69.7505042</v>
      </c>
      <c r="N195" s="14" t="n">
        <v>190</v>
      </c>
      <c r="O195" s="14" t="s">
        <v>24</v>
      </c>
      <c r="P195" s="15"/>
      <c r="Q195" s="20" t="s">
        <v>25</v>
      </c>
    </row>
    <row r="196" customFormat="false" ht="15" hidden="false" customHeight="false" outlineLevel="0" collapsed="false">
      <c r="A196" s="7" t="s">
        <v>309</v>
      </c>
      <c r="B196" s="7" t="s">
        <v>38</v>
      </c>
      <c r="C196" s="7" t="s">
        <v>6</v>
      </c>
      <c r="D196" s="8" t="s">
        <v>199</v>
      </c>
      <c r="E196" s="7"/>
      <c r="F196" s="8"/>
      <c r="G196" s="7" t="s">
        <v>310</v>
      </c>
      <c r="H196" s="9" t="n">
        <v>2.4</v>
      </c>
      <c r="I196" s="10" t="n">
        <v>33.573</v>
      </c>
      <c r="J196" s="11" t="n">
        <v>420754.733</v>
      </c>
      <c r="K196" s="11" t="n">
        <v>2044203.808</v>
      </c>
      <c r="L196" s="12" t="n">
        <v>18.4867515</v>
      </c>
      <c r="M196" s="12" t="n">
        <v>-69.7506362</v>
      </c>
      <c r="N196" s="7" t="n">
        <v>191</v>
      </c>
      <c r="O196" s="7" t="s">
        <v>40</v>
      </c>
      <c r="P196" s="8"/>
      <c r="Q196" s="13" t="s">
        <v>25</v>
      </c>
    </row>
    <row r="197" customFormat="false" ht="15" hidden="false" customHeight="false" outlineLevel="0" collapsed="false">
      <c r="A197" s="14" t="s">
        <v>311</v>
      </c>
      <c r="B197" s="14" t="s">
        <v>38</v>
      </c>
      <c r="C197" s="14" t="s">
        <v>6</v>
      </c>
      <c r="D197" s="15" t="s">
        <v>199</v>
      </c>
      <c r="E197" s="14"/>
      <c r="F197" s="15"/>
      <c r="G197" s="14" t="s">
        <v>310</v>
      </c>
      <c r="H197" s="16" t="n">
        <v>2.5</v>
      </c>
      <c r="I197" s="17" t="n">
        <v>33.819</v>
      </c>
      <c r="J197" s="18" t="n">
        <v>420755.758</v>
      </c>
      <c r="K197" s="18" t="n">
        <v>2044184.7</v>
      </c>
      <c r="L197" s="19" t="n">
        <v>18.4865789</v>
      </c>
      <c r="M197" s="19" t="n">
        <v>-69.7506257</v>
      </c>
      <c r="N197" s="14" t="n">
        <v>192</v>
      </c>
      <c r="O197" s="14" t="s">
        <v>40</v>
      </c>
      <c r="P197" s="15"/>
      <c r="Q197" s="20" t="s">
        <v>25</v>
      </c>
    </row>
    <row r="198" customFormat="false" ht="15" hidden="false" customHeight="false" outlineLevel="0" collapsed="false">
      <c r="A198" s="7" t="s">
        <v>312</v>
      </c>
      <c r="B198" s="7" t="s">
        <v>38</v>
      </c>
      <c r="C198" s="7" t="s">
        <v>6</v>
      </c>
      <c r="D198" s="8" t="s">
        <v>199</v>
      </c>
      <c r="E198" s="7"/>
      <c r="F198" s="8"/>
      <c r="G198" s="7" t="s">
        <v>313</v>
      </c>
      <c r="H198" s="9" t="n">
        <v>2.6</v>
      </c>
      <c r="I198" s="10" t="n">
        <v>33.885</v>
      </c>
      <c r="J198" s="11" t="n">
        <v>420756.759</v>
      </c>
      <c r="K198" s="11" t="n">
        <v>2044165.587</v>
      </c>
      <c r="L198" s="12" t="n">
        <v>18.4864062</v>
      </c>
      <c r="M198" s="12" t="n">
        <v>-69.7506155</v>
      </c>
      <c r="N198" s="7" t="n">
        <v>193</v>
      </c>
      <c r="O198" s="7" t="s">
        <v>40</v>
      </c>
      <c r="P198" s="8"/>
      <c r="Q198" s="13" t="s">
        <v>25</v>
      </c>
    </row>
    <row r="199" customFormat="false" ht="15" hidden="false" customHeight="false" outlineLevel="0" collapsed="false">
      <c r="A199" s="14" t="s">
        <v>314</v>
      </c>
      <c r="B199" s="14" t="s">
        <v>21</v>
      </c>
      <c r="C199" s="14" t="s">
        <v>6</v>
      </c>
      <c r="D199" s="15" t="s">
        <v>139</v>
      </c>
      <c r="E199" s="14"/>
      <c r="F199" s="15"/>
      <c r="G199" s="14" t="s">
        <v>232</v>
      </c>
      <c r="H199" s="16" t="n">
        <v>3.6</v>
      </c>
      <c r="I199" s="17" t="n">
        <v>32.326</v>
      </c>
      <c r="J199" s="18" t="n">
        <v>420822.282</v>
      </c>
      <c r="K199" s="18" t="n">
        <v>2044150.295</v>
      </c>
      <c r="L199" s="19" t="n">
        <v>18.4862704</v>
      </c>
      <c r="M199" s="19" t="n">
        <v>-69.7499943</v>
      </c>
      <c r="N199" s="14" t="n">
        <v>194</v>
      </c>
      <c r="O199" s="14" t="s">
        <v>24</v>
      </c>
      <c r="P199" s="15"/>
      <c r="Q199" s="20" t="s">
        <v>25</v>
      </c>
    </row>
    <row r="200" customFormat="false" ht="15" hidden="false" customHeight="false" outlineLevel="0" collapsed="false">
      <c r="A200" s="7" t="s">
        <v>315</v>
      </c>
      <c r="B200" s="7" t="s">
        <v>21</v>
      </c>
      <c r="C200" s="7" t="s">
        <v>6</v>
      </c>
      <c r="D200" s="8" t="s">
        <v>139</v>
      </c>
      <c r="E200" s="7"/>
      <c r="F200" s="8"/>
      <c r="G200" s="7" t="s">
        <v>229</v>
      </c>
      <c r="H200" s="9" t="n">
        <v>1.5</v>
      </c>
      <c r="I200" s="10" t="n">
        <v>32.362</v>
      </c>
      <c r="J200" s="11" t="n">
        <v>420822.036</v>
      </c>
      <c r="K200" s="11" t="n">
        <v>2044160.24</v>
      </c>
      <c r="L200" s="12" t="n">
        <v>18.4863603</v>
      </c>
      <c r="M200" s="12" t="n">
        <v>-69.749997</v>
      </c>
      <c r="N200" s="7" t="n">
        <v>195</v>
      </c>
      <c r="O200" s="7" t="s">
        <v>24</v>
      </c>
      <c r="P200" s="8"/>
      <c r="Q200" s="13" t="s">
        <v>25</v>
      </c>
    </row>
    <row r="201" customFormat="false" ht="15" hidden="false" customHeight="false" outlineLevel="0" collapsed="false">
      <c r="A201" s="14" t="s">
        <v>316</v>
      </c>
      <c r="B201" s="14" t="s">
        <v>38</v>
      </c>
      <c r="C201" s="14" t="s">
        <v>6</v>
      </c>
      <c r="D201" s="15" t="s">
        <v>199</v>
      </c>
      <c r="E201" s="14"/>
      <c r="F201" s="15"/>
      <c r="G201" s="14" t="s">
        <v>313</v>
      </c>
      <c r="H201" s="16" t="n">
        <v>3</v>
      </c>
      <c r="I201" s="17" t="n">
        <v>33.251</v>
      </c>
      <c r="J201" s="18" t="n">
        <v>420761.254</v>
      </c>
      <c r="K201" s="18" t="n">
        <v>2044076.801</v>
      </c>
      <c r="L201" s="19" t="n">
        <v>18.485604</v>
      </c>
      <c r="M201" s="19" t="n">
        <v>-69.7505694</v>
      </c>
      <c r="N201" s="14" t="n">
        <v>196</v>
      </c>
      <c r="O201" s="14" t="s">
        <v>40</v>
      </c>
      <c r="P201" s="15"/>
      <c r="Q201" s="20" t="s">
        <v>25</v>
      </c>
    </row>
    <row r="202" customFormat="false" ht="15" hidden="false" customHeight="false" outlineLevel="0" collapsed="false">
      <c r="A202" s="7" t="s">
        <v>317</v>
      </c>
      <c r="B202" s="7" t="s">
        <v>38</v>
      </c>
      <c r="C202" s="7" t="s">
        <v>6</v>
      </c>
      <c r="D202" s="8" t="s">
        <v>199</v>
      </c>
      <c r="E202" s="7"/>
      <c r="F202" s="8"/>
      <c r="G202" s="7" t="s">
        <v>232</v>
      </c>
      <c r="H202" s="9" t="n">
        <v>3.7</v>
      </c>
      <c r="I202" s="10" t="n">
        <v>33.315</v>
      </c>
      <c r="J202" s="11" t="n">
        <v>420776.682</v>
      </c>
      <c r="K202" s="11" t="n">
        <v>2044077.644</v>
      </c>
      <c r="L202" s="12" t="n">
        <v>18.4856122</v>
      </c>
      <c r="M202" s="12" t="n">
        <v>-69.7504233</v>
      </c>
      <c r="N202" s="7" t="n">
        <v>197</v>
      </c>
      <c r="O202" s="7" t="s">
        <v>40</v>
      </c>
      <c r="P202" s="8"/>
      <c r="Q202" s="13" t="s">
        <v>25</v>
      </c>
    </row>
    <row r="203" customFormat="false" ht="15" hidden="false" customHeight="false" outlineLevel="0" collapsed="false">
      <c r="A203" s="14" t="s">
        <v>318</v>
      </c>
      <c r="B203" s="14" t="s">
        <v>21</v>
      </c>
      <c r="C203" s="14" t="s">
        <v>6</v>
      </c>
      <c r="D203" s="15" t="s">
        <v>199</v>
      </c>
      <c r="E203" s="14"/>
      <c r="F203" s="15"/>
      <c r="G203" s="14" t="s">
        <v>232</v>
      </c>
      <c r="H203" s="16" t="n">
        <v>3.7</v>
      </c>
      <c r="I203" s="17" t="n">
        <v>33.002</v>
      </c>
      <c r="J203" s="18" t="n">
        <v>420777.995</v>
      </c>
      <c r="K203" s="18" t="n">
        <v>2044049.095</v>
      </c>
      <c r="L203" s="19" t="n">
        <v>18.4853542</v>
      </c>
      <c r="M203" s="19" t="n">
        <v>-69.7504098</v>
      </c>
      <c r="N203" s="14" t="n">
        <v>198</v>
      </c>
      <c r="O203" s="14" t="s">
        <v>24</v>
      </c>
      <c r="P203" s="15"/>
      <c r="Q203" s="20" t="s">
        <v>25</v>
      </c>
    </row>
    <row r="204" customFormat="false" ht="15" hidden="false" customHeight="false" outlineLevel="0" collapsed="false">
      <c r="A204" s="7" t="s">
        <v>319</v>
      </c>
      <c r="B204" s="7" t="s">
        <v>21</v>
      </c>
      <c r="C204" s="7" t="s">
        <v>6</v>
      </c>
      <c r="D204" s="8" t="s">
        <v>320</v>
      </c>
      <c r="E204" s="7"/>
      <c r="F204" s="8"/>
      <c r="G204" s="7" t="s">
        <v>313</v>
      </c>
      <c r="H204" s="9" t="n">
        <v>4.3</v>
      </c>
      <c r="I204" s="10" t="n">
        <v>32.809</v>
      </c>
      <c r="J204" s="11" t="n">
        <v>420734.475</v>
      </c>
      <c r="K204" s="11" t="n">
        <v>2044038.768</v>
      </c>
      <c r="L204" s="12" t="n">
        <v>18.4852592</v>
      </c>
      <c r="M204" s="12" t="n">
        <v>-69.7508216</v>
      </c>
      <c r="N204" s="7" t="n">
        <v>199</v>
      </c>
      <c r="O204" s="7" t="s">
        <v>24</v>
      </c>
      <c r="P204" s="8"/>
      <c r="Q204" s="13" t="s">
        <v>25</v>
      </c>
    </row>
    <row r="205" customFormat="false" ht="15" hidden="false" customHeight="false" outlineLevel="0" collapsed="false">
      <c r="A205" s="14" t="s">
        <v>321</v>
      </c>
      <c r="B205" s="14" t="s">
        <v>21</v>
      </c>
      <c r="C205" s="14" t="s">
        <v>6</v>
      </c>
      <c r="D205" s="15" t="s">
        <v>320</v>
      </c>
      <c r="E205" s="14"/>
      <c r="F205" s="15"/>
      <c r="G205" s="14" t="s">
        <v>23</v>
      </c>
      <c r="H205" s="16" t="n">
        <v>4</v>
      </c>
      <c r="I205" s="17" t="n">
        <v>32.794</v>
      </c>
      <c r="J205" s="18" t="n">
        <v>420733.637</v>
      </c>
      <c r="K205" s="18" t="n">
        <v>2044021.67</v>
      </c>
      <c r="L205" s="19" t="n">
        <v>18.4851047</v>
      </c>
      <c r="M205" s="19" t="n">
        <v>-69.7508288</v>
      </c>
      <c r="N205" s="14" t="n">
        <v>200</v>
      </c>
      <c r="O205" s="14" t="s">
        <v>24</v>
      </c>
      <c r="P205" s="15"/>
      <c r="Q205" s="20" t="s">
        <v>25</v>
      </c>
    </row>
    <row r="206" customFormat="false" ht="15" hidden="false" customHeight="false" outlineLevel="0" collapsed="false">
      <c r="A206" s="7" t="s">
        <v>322</v>
      </c>
      <c r="B206" s="7" t="s">
        <v>21</v>
      </c>
      <c r="C206" s="7" t="s">
        <v>6</v>
      </c>
      <c r="D206" s="8" t="s">
        <v>320</v>
      </c>
      <c r="E206" s="7"/>
      <c r="F206" s="8"/>
      <c r="G206" s="7" t="s">
        <v>305</v>
      </c>
      <c r="H206" s="9" t="n">
        <v>2.1</v>
      </c>
      <c r="I206" s="10" t="n">
        <v>33.185</v>
      </c>
      <c r="J206" s="11" t="n">
        <v>420499.672</v>
      </c>
      <c r="K206" s="11" t="n">
        <v>2044026.464</v>
      </c>
      <c r="L206" s="12" t="n">
        <v>18.4851392</v>
      </c>
      <c r="M206" s="12" t="n">
        <v>-69.7530451</v>
      </c>
      <c r="N206" s="7" t="n">
        <v>201</v>
      </c>
      <c r="O206" s="7" t="s">
        <v>24</v>
      </c>
      <c r="P206" s="8"/>
      <c r="Q206" s="13" t="s">
        <v>25</v>
      </c>
    </row>
    <row r="207" customFormat="false" ht="15" hidden="false" customHeight="false" outlineLevel="0" collapsed="false">
      <c r="A207" s="14" t="s">
        <v>323</v>
      </c>
      <c r="B207" s="14" t="s">
        <v>21</v>
      </c>
      <c r="C207" s="14" t="s">
        <v>6</v>
      </c>
      <c r="D207" s="15" t="s">
        <v>320</v>
      </c>
      <c r="E207" s="14"/>
      <c r="F207" s="15"/>
      <c r="G207" s="14" t="s">
        <v>324</v>
      </c>
      <c r="H207" s="16" t="n">
        <v>5.3</v>
      </c>
      <c r="I207" s="17" t="n">
        <v>33.183</v>
      </c>
      <c r="J207" s="18" t="n">
        <v>420500.364</v>
      </c>
      <c r="K207" s="18" t="n">
        <v>2044010.745</v>
      </c>
      <c r="L207" s="19" t="n">
        <v>18.4849972</v>
      </c>
      <c r="M207" s="19" t="n">
        <v>-69.7530379</v>
      </c>
      <c r="N207" s="14" t="n">
        <v>202</v>
      </c>
      <c r="O207" s="14" t="s">
        <v>24</v>
      </c>
      <c r="P207" s="15"/>
      <c r="Q207" s="20" t="s">
        <v>25</v>
      </c>
    </row>
    <row r="208" customFormat="false" ht="15" hidden="false" customHeight="false" outlineLevel="0" collapsed="false">
      <c r="A208" s="7" t="s">
        <v>325</v>
      </c>
      <c r="B208" s="7" t="s">
        <v>38</v>
      </c>
      <c r="C208" s="7" t="s">
        <v>6</v>
      </c>
      <c r="D208" s="8" t="s">
        <v>326</v>
      </c>
      <c r="E208" s="7"/>
      <c r="F208" s="8"/>
      <c r="G208" s="7" t="s">
        <v>324</v>
      </c>
      <c r="H208" s="9" t="n">
        <v>6.3</v>
      </c>
      <c r="I208" s="10" t="n">
        <v>33.934</v>
      </c>
      <c r="J208" s="11" t="n">
        <v>420451.013</v>
      </c>
      <c r="K208" s="11" t="n">
        <v>2043992.175</v>
      </c>
      <c r="L208" s="12" t="n">
        <v>18.4848275</v>
      </c>
      <c r="M208" s="12" t="n">
        <v>-69.7535046</v>
      </c>
      <c r="N208" s="7" t="n">
        <v>203</v>
      </c>
      <c r="O208" s="7" t="s">
        <v>40</v>
      </c>
      <c r="P208" s="8"/>
      <c r="Q208" s="13" t="s">
        <v>25</v>
      </c>
    </row>
    <row r="209" customFormat="false" ht="15" hidden="false" customHeight="false" outlineLevel="0" collapsed="false">
      <c r="A209" s="14" t="s">
        <v>327</v>
      </c>
      <c r="B209" s="14" t="s">
        <v>38</v>
      </c>
      <c r="C209" s="14" t="s">
        <v>6</v>
      </c>
      <c r="D209" s="15" t="s">
        <v>326</v>
      </c>
      <c r="E209" s="14"/>
      <c r="F209" s="15"/>
      <c r="G209" s="14" t="s">
        <v>305</v>
      </c>
      <c r="H209" s="16" t="n">
        <v>20.8</v>
      </c>
      <c r="I209" s="17" t="n">
        <v>33.805</v>
      </c>
      <c r="J209" s="18" t="n">
        <v>420434.764</v>
      </c>
      <c r="K209" s="18" t="n">
        <v>2044029.151</v>
      </c>
      <c r="L209" s="19" t="n">
        <v>18.485161</v>
      </c>
      <c r="M209" s="19" t="n">
        <v>-69.75366</v>
      </c>
      <c r="N209" s="14" t="n">
        <v>204</v>
      </c>
      <c r="O209" s="14" t="s">
        <v>40</v>
      </c>
      <c r="P209" s="15"/>
      <c r="Q209" s="20" t="s">
        <v>25</v>
      </c>
    </row>
    <row r="210" customFormat="false" ht="15" hidden="false" customHeight="false" outlineLevel="0" collapsed="false">
      <c r="A210" s="7" t="s">
        <v>328</v>
      </c>
      <c r="B210" s="7" t="s">
        <v>38</v>
      </c>
      <c r="C210" s="7" t="s">
        <v>6</v>
      </c>
      <c r="D210" s="8" t="s">
        <v>326</v>
      </c>
      <c r="E210" s="7"/>
      <c r="F210" s="8"/>
      <c r="G210" s="7" t="s">
        <v>305</v>
      </c>
      <c r="H210" s="9" t="n">
        <v>7</v>
      </c>
      <c r="I210" s="10" t="n">
        <v>33.717</v>
      </c>
      <c r="J210" s="11" t="n">
        <v>420450.742</v>
      </c>
      <c r="K210" s="11" t="n">
        <v>2044028.676</v>
      </c>
      <c r="L210" s="12" t="n">
        <v>18.4851574</v>
      </c>
      <c r="M210" s="12" t="n">
        <v>-69.7535086</v>
      </c>
      <c r="N210" s="7" t="n">
        <v>205</v>
      </c>
      <c r="O210" s="7" t="s">
        <v>40</v>
      </c>
      <c r="P210" s="8"/>
      <c r="Q210" s="13" t="s">
        <v>25</v>
      </c>
    </row>
    <row r="211" customFormat="false" ht="15" hidden="false" customHeight="false" outlineLevel="0" collapsed="false">
      <c r="A211" s="14" t="s">
        <v>329</v>
      </c>
      <c r="B211" s="14" t="s">
        <v>21</v>
      </c>
      <c r="C211" s="14" t="s">
        <v>6</v>
      </c>
      <c r="D211" s="15" t="s">
        <v>326</v>
      </c>
      <c r="E211" s="14"/>
      <c r="F211" s="15"/>
      <c r="G211" s="14" t="s">
        <v>305</v>
      </c>
      <c r="H211" s="16" t="n">
        <v>20.2</v>
      </c>
      <c r="I211" s="17" t="n">
        <v>33.456</v>
      </c>
      <c r="J211" s="18" t="n">
        <v>420434.231</v>
      </c>
      <c r="K211" s="18" t="n">
        <v>2044076.418</v>
      </c>
      <c r="L211" s="19" t="n">
        <v>18.4855882</v>
      </c>
      <c r="M211" s="19" t="n">
        <v>-69.7536669</v>
      </c>
      <c r="N211" s="14" t="n">
        <v>206</v>
      </c>
      <c r="O211" s="14" t="s">
        <v>24</v>
      </c>
      <c r="P211" s="15"/>
      <c r="Q211" s="20" t="s">
        <v>25</v>
      </c>
    </row>
    <row r="212" customFormat="false" ht="15" hidden="false" customHeight="false" outlineLevel="0" collapsed="false">
      <c r="A212" s="7" t="s">
        <v>330</v>
      </c>
      <c r="B212" s="7" t="s">
        <v>21</v>
      </c>
      <c r="C212" s="7" t="s">
        <v>6</v>
      </c>
      <c r="D212" s="8" t="s">
        <v>326</v>
      </c>
      <c r="E212" s="7"/>
      <c r="F212" s="8"/>
      <c r="G212" s="7" t="s">
        <v>305</v>
      </c>
      <c r="H212" s="9" t="n">
        <v>4.2</v>
      </c>
      <c r="I212" s="10" t="n">
        <v>33.352</v>
      </c>
      <c r="J212" s="11" t="n">
        <v>420450.173</v>
      </c>
      <c r="K212" s="11" t="n">
        <v>2044075.491</v>
      </c>
      <c r="L212" s="12" t="n">
        <v>18.4855804</v>
      </c>
      <c r="M212" s="12" t="n">
        <v>-69.7535158</v>
      </c>
      <c r="N212" s="7" t="n">
        <v>207</v>
      </c>
      <c r="O212" s="7" t="s">
        <v>24</v>
      </c>
      <c r="P212" s="8"/>
      <c r="Q212" s="13" t="s">
        <v>25</v>
      </c>
    </row>
    <row r="213" customFormat="false" ht="15" hidden="false" customHeight="false" outlineLevel="0" collapsed="false">
      <c r="A213" s="14" t="s">
        <v>331</v>
      </c>
      <c r="B213" s="14" t="s">
        <v>38</v>
      </c>
      <c r="C213" s="14" t="s">
        <v>6</v>
      </c>
      <c r="D213" s="15" t="s">
        <v>326</v>
      </c>
      <c r="E213" s="14"/>
      <c r="F213" s="15"/>
      <c r="G213" s="14" t="s">
        <v>305</v>
      </c>
      <c r="H213" s="16" t="n">
        <v>4.4</v>
      </c>
      <c r="I213" s="17" t="n">
        <v>35.417</v>
      </c>
      <c r="J213" s="18" t="n">
        <v>420448.89</v>
      </c>
      <c r="K213" s="18" t="n">
        <v>2044189.529</v>
      </c>
      <c r="L213" s="19" t="n">
        <v>18.486611</v>
      </c>
      <c r="M213" s="19" t="n">
        <v>-69.7535325</v>
      </c>
      <c r="N213" s="14" t="n">
        <v>208</v>
      </c>
      <c r="O213" s="14" t="s">
        <v>40</v>
      </c>
      <c r="P213" s="15"/>
      <c r="Q213" s="20" t="s">
        <v>25</v>
      </c>
    </row>
    <row r="214" customFormat="false" ht="15" hidden="false" customHeight="false" outlineLevel="0" collapsed="false">
      <c r="A214" s="7" t="s">
        <v>332</v>
      </c>
      <c r="B214" s="7" t="s">
        <v>38</v>
      </c>
      <c r="C214" s="7" t="s">
        <v>6</v>
      </c>
      <c r="D214" s="8" t="s">
        <v>326</v>
      </c>
      <c r="E214" s="7"/>
      <c r="F214" s="8"/>
      <c r="G214" s="7" t="s">
        <v>305</v>
      </c>
      <c r="H214" s="9" t="n">
        <v>4.6</v>
      </c>
      <c r="I214" s="10" t="n">
        <v>35.269</v>
      </c>
      <c r="J214" s="11" t="n">
        <v>420448.343</v>
      </c>
      <c r="K214" s="11" t="n">
        <v>2044225.614</v>
      </c>
      <c r="L214" s="12" t="n">
        <v>18.4869371</v>
      </c>
      <c r="M214" s="12" t="n">
        <v>-69.7535391</v>
      </c>
      <c r="N214" s="7" t="n">
        <v>209</v>
      </c>
      <c r="O214" s="7" t="s">
        <v>40</v>
      </c>
      <c r="P214" s="8"/>
      <c r="Q214" s="13" t="s">
        <v>25</v>
      </c>
    </row>
    <row r="215" customFormat="false" ht="15" hidden="false" customHeight="false" outlineLevel="0" collapsed="false">
      <c r="A215" s="14" t="s">
        <v>333</v>
      </c>
      <c r="B215" s="14" t="s">
        <v>38</v>
      </c>
      <c r="C215" s="14" t="s">
        <v>6</v>
      </c>
      <c r="D215" s="15" t="s">
        <v>326</v>
      </c>
      <c r="E215" s="14"/>
      <c r="F215" s="15"/>
      <c r="G215" s="14" t="s">
        <v>305</v>
      </c>
      <c r="H215" s="16" t="n">
        <v>4.5</v>
      </c>
      <c r="I215" s="17" t="n">
        <v>34.385</v>
      </c>
      <c r="J215" s="18" t="n">
        <v>420448.117</v>
      </c>
      <c r="K215" s="18" t="n">
        <v>2044264.198</v>
      </c>
      <c r="L215" s="19" t="n">
        <v>18.4872858</v>
      </c>
      <c r="M215" s="19" t="n">
        <v>-69.7535428</v>
      </c>
      <c r="N215" s="14" t="n">
        <v>210</v>
      </c>
      <c r="O215" s="14" t="s">
        <v>40</v>
      </c>
      <c r="P215" s="15"/>
      <c r="Q215" s="20" t="s">
        <v>25</v>
      </c>
    </row>
    <row r="216" customFormat="false" ht="15" hidden="false" customHeight="false" outlineLevel="0" collapsed="false">
      <c r="A216" s="7" t="s">
        <v>334</v>
      </c>
      <c r="B216" s="7" t="s">
        <v>21</v>
      </c>
      <c r="C216" s="7" t="s">
        <v>6</v>
      </c>
      <c r="D216" s="8" t="s">
        <v>326</v>
      </c>
      <c r="E216" s="7"/>
      <c r="F216" s="8"/>
      <c r="G216" s="7" t="s">
        <v>305</v>
      </c>
      <c r="H216" s="9" t="n">
        <v>4.5</v>
      </c>
      <c r="I216" s="10" t="n">
        <v>33.853</v>
      </c>
      <c r="J216" s="11" t="n">
        <v>420447.697</v>
      </c>
      <c r="K216" s="11" t="n">
        <v>2044303.192</v>
      </c>
      <c r="L216" s="12" t="n">
        <v>18.4876382</v>
      </c>
      <c r="M216" s="12" t="n">
        <v>-69.7535483</v>
      </c>
      <c r="N216" s="7" t="n">
        <v>211</v>
      </c>
      <c r="O216" s="7" t="s">
        <v>24</v>
      </c>
      <c r="P216" s="8"/>
      <c r="Q216" s="13" t="s">
        <v>25</v>
      </c>
    </row>
    <row r="217" customFormat="false" ht="15" hidden="false" customHeight="false" outlineLevel="0" collapsed="false">
      <c r="A217" s="14" t="s">
        <v>335</v>
      </c>
      <c r="B217" s="14" t="s">
        <v>21</v>
      </c>
      <c r="C217" s="14" t="s">
        <v>6</v>
      </c>
      <c r="D217" s="15" t="s">
        <v>326</v>
      </c>
      <c r="E217" s="14"/>
      <c r="F217" s="15"/>
      <c r="G217" s="14" t="s">
        <v>305</v>
      </c>
      <c r="H217" s="16" t="n">
        <v>20.4</v>
      </c>
      <c r="I217" s="17" t="n">
        <v>34.006</v>
      </c>
      <c r="J217" s="18" t="n">
        <v>420431.806</v>
      </c>
      <c r="K217" s="18" t="n">
        <v>2044302.571</v>
      </c>
      <c r="L217" s="19" t="n">
        <v>18.4876319</v>
      </c>
      <c r="M217" s="19" t="n">
        <v>-69.7536988</v>
      </c>
      <c r="N217" s="14" t="n">
        <v>212</v>
      </c>
      <c r="O217" s="14" t="s">
        <v>24</v>
      </c>
      <c r="P217" s="15"/>
      <c r="Q217" s="20" t="s">
        <v>25</v>
      </c>
    </row>
    <row r="218" customFormat="false" ht="15" hidden="false" customHeight="false" outlineLevel="0" collapsed="false">
      <c r="A218" s="7" t="s">
        <v>336</v>
      </c>
      <c r="B218" s="7" t="s">
        <v>38</v>
      </c>
      <c r="C218" s="7" t="s">
        <v>6</v>
      </c>
      <c r="D218" s="8" t="s">
        <v>150</v>
      </c>
      <c r="E218" s="7"/>
      <c r="F218" s="8"/>
      <c r="G218" s="7" t="s">
        <v>305</v>
      </c>
      <c r="H218" s="9" t="n">
        <v>7.6</v>
      </c>
      <c r="I218" s="10" t="n">
        <v>35.006</v>
      </c>
      <c r="J218" s="11" t="n">
        <v>420530.371</v>
      </c>
      <c r="K218" s="11" t="n">
        <v>2044370.604</v>
      </c>
      <c r="L218" s="12" t="n">
        <v>18.4882505</v>
      </c>
      <c r="M218" s="12" t="n">
        <v>-69.7527679</v>
      </c>
      <c r="N218" s="7" t="n">
        <v>213</v>
      </c>
      <c r="O218" s="7" t="s">
        <v>40</v>
      </c>
      <c r="P218" s="8"/>
      <c r="Q218" s="13" t="s">
        <v>25</v>
      </c>
    </row>
    <row r="219" customFormat="false" ht="15" hidden="false" customHeight="false" outlineLevel="0" collapsed="false">
      <c r="A219" s="14" t="s">
        <v>337</v>
      </c>
      <c r="B219" s="14" t="s">
        <v>21</v>
      </c>
      <c r="C219" s="14" t="s">
        <v>6</v>
      </c>
      <c r="D219" s="15" t="s">
        <v>150</v>
      </c>
      <c r="E219" s="14"/>
      <c r="F219" s="15"/>
      <c r="G219" s="14" t="s">
        <v>305</v>
      </c>
      <c r="H219" s="16" t="n">
        <v>7.7</v>
      </c>
      <c r="I219" s="17" t="n">
        <v>34.56</v>
      </c>
      <c r="J219" s="18" t="n">
        <v>420586.06</v>
      </c>
      <c r="K219" s="18" t="n">
        <v>2044373.325</v>
      </c>
      <c r="L219" s="19" t="n">
        <v>18.4882772</v>
      </c>
      <c r="M219" s="19" t="n">
        <v>-69.7522405</v>
      </c>
      <c r="N219" s="14" t="n">
        <v>214</v>
      </c>
      <c r="O219" s="14" t="s">
        <v>24</v>
      </c>
      <c r="P219" s="15"/>
      <c r="Q219" s="20" t="s">
        <v>25</v>
      </c>
    </row>
    <row r="220" customFormat="false" ht="15" hidden="false" customHeight="false" outlineLevel="0" collapsed="false">
      <c r="A220" s="7" t="s">
        <v>338</v>
      </c>
      <c r="B220" s="7" t="s">
        <v>38</v>
      </c>
      <c r="C220" s="7" t="s">
        <v>6</v>
      </c>
      <c r="D220" s="8" t="s">
        <v>150</v>
      </c>
      <c r="E220" s="7"/>
      <c r="F220" s="8"/>
      <c r="G220" s="7" t="s">
        <v>201</v>
      </c>
      <c r="H220" s="9" t="n">
        <v>19.6</v>
      </c>
      <c r="I220" s="10" t="n">
        <v>35.614</v>
      </c>
      <c r="J220" s="11" t="n">
        <v>420730.655</v>
      </c>
      <c r="K220" s="11" t="n">
        <v>2044392.946</v>
      </c>
      <c r="L220" s="12" t="n">
        <v>18.4884599</v>
      </c>
      <c r="M220" s="12" t="n">
        <v>-69.7508717</v>
      </c>
      <c r="N220" s="7" t="n">
        <v>215</v>
      </c>
      <c r="O220" s="7" t="s">
        <v>40</v>
      </c>
      <c r="P220" s="8"/>
      <c r="Q220" s="13" t="s">
        <v>25</v>
      </c>
    </row>
    <row r="221" customFormat="false" ht="15" hidden="false" customHeight="false" outlineLevel="0" collapsed="false">
      <c r="A221" s="14" t="s">
        <v>339</v>
      </c>
      <c r="B221" s="14" t="s">
        <v>38</v>
      </c>
      <c r="C221" s="14" t="s">
        <v>6</v>
      </c>
      <c r="D221" s="15" t="s">
        <v>150</v>
      </c>
      <c r="E221" s="14"/>
      <c r="F221" s="15"/>
      <c r="G221" s="14" t="s">
        <v>225</v>
      </c>
      <c r="H221" s="16" t="n">
        <v>7.8</v>
      </c>
      <c r="I221" s="17" t="n">
        <v>34.892</v>
      </c>
      <c r="J221" s="18" t="n">
        <v>420815.132</v>
      </c>
      <c r="K221" s="18" t="n">
        <v>2044384.308</v>
      </c>
      <c r="L221" s="19" t="n">
        <v>18.488385</v>
      </c>
      <c r="M221" s="19" t="n">
        <v>-69.7500712</v>
      </c>
      <c r="N221" s="14" t="n">
        <v>216</v>
      </c>
      <c r="O221" s="14" t="s">
        <v>40</v>
      </c>
      <c r="P221" s="15"/>
      <c r="Q221" s="20" t="s">
        <v>25</v>
      </c>
    </row>
    <row r="222" customFormat="false" ht="15" hidden="false" customHeight="false" outlineLevel="0" collapsed="false">
      <c r="A222" s="7" t="s">
        <v>340</v>
      </c>
      <c r="B222" s="7" t="s">
        <v>38</v>
      </c>
      <c r="C222" s="7" t="s">
        <v>6</v>
      </c>
      <c r="D222" s="8" t="s">
        <v>150</v>
      </c>
      <c r="E222" s="7"/>
      <c r="F222" s="8"/>
      <c r="G222" s="7" t="s">
        <v>225</v>
      </c>
      <c r="H222" s="9" t="n">
        <v>7.9</v>
      </c>
      <c r="I222" s="10" t="n">
        <v>34.467</v>
      </c>
      <c r="J222" s="11" t="n">
        <v>420884.58</v>
      </c>
      <c r="K222" s="11" t="n">
        <v>2044387.657</v>
      </c>
      <c r="L222" s="12" t="n">
        <v>18.4884179</v>
      </c>
      <c r="M222" s="12" t="n">
        <v>-69.7494135</v>
      </c>
      <c r="N222" s="7" t="n">
        <v>217</v>
      </c>
      <c r="O222" s="7" t="s">
        <v>40</v>
      </c>
      <c r="P222" s="8"/>
      <c r="Q222" s="13" t="s">
        <v>25</v>
      </c>
    </row>
    <row r="223" customFormat="false" ht="15" hidden="false" customHeight="false" outlineLevel="0" collapsed="false">
      <c r="A223" s="14" t="s">
        <v>341</v>
      </c>
      <c r="B223" s="14" t="s">
        <v>38</v>
      </c>
      <c r="C223" s="14" t="s">
        <v>6</v>
      </c>
      <c r="D223" s="15" t="s">
        <v>150</v>
      </c>
      <c r="E223" s="14"/>
      <c r="F223" s="15"/>
      <c r="G223" s="14" t="s">
        <v>215</v>
      </c>
      <c r="H223" s="16" t="n">
        <v>5.5</v>
      </c>
      <c r="I223" s="17" t="n">
        <v>34.249</v>
      </c>
      <c r="J223" s="18" t="n">
        <v>420883.818</v>
      </c>
      <c r="K223" s="18" t="n">
        <v>2044414.295</v>
      </c>
      <c r="L223" s="19" t="n">
        <v>18.4886586</v>
      </c>
      <c r="M223" s="19" t="n">
        <v>-69.7494218</v>
      </c>
      <c r="N223" s="14" t="n">
        <v>218</v>
      </c>
      <c r="O223" s="14" t="s">
        <v>40</v>
      </c>
      <c r="P223" s="15"/>
      <c r="Q223" s="20" t="s">
        <v>25</v>
      </c>
    </row>
    <row r="224" customFormat="false" ht="15" hidden="false" customHeight="false" outlineLevel="0" collapsed="false">
      <c r="A224" s="7" t="s">
        <v>342</v>
      </c>
      <c r="B224" s="7" t="s">
        <v>38</v>
      </c>
      <c r="C224" s="7" t="s">
        <v>6</v>
      </c>
      <c r="D224" s="8" t="s">
        <v>150</v>
      </c>
      <c r="E224" s="7"/>
      <c r="F224" s="8"/>
      <c r="G224" s="7" t="s">
        <v>215</v>
      </c>
      <c r="H224" s="9" t="n">
        <v>5.6</v>
      </c>
      <c r="I224" s="10" t="n">
        <v>34.865</v>
      </c>
      <c r="J224" s="11" t="n">
        <v>420813.627</v>
      </c>
      <c r="K224" s="11" t="n">
        <v>2044410.856</v>
      </c>
      <c r="L224" s="12" t="n">
        <v>18.4886249</v>
      </c>
      <c r="M224" s="12" t="n">
        <v>-69.7500865</v>
      </c>
      <c r="N224" s="7" t="n">
        <v>219</v>
      </c>
      <c r="O224" s="7" t="s">
        <v>40</v>
      </c>
      <c r="P224" s="8"/>
      <c r="Q224" s="13" t="s">
        <v>25</v>
      </c>
    </row>
    <row r="225" customFormat="false" ht="15" hidden="false" customHeight="false" outlineLevel="0" collapsed="false">
      <c r="A225" s="14" t="s">
        <v>343</v>
      </c>
      <c r="B225" s="14" t="s">
        <v>21</v>
      </c>
      <c r="C225" s="14" t="s">
        <v>6</v>
      </c>
      <c r="D225" s="15" t="s">
        <v>150</v>
      </c>
      <c r="E225" s="14"/>
      <c r="F225" s="15"/>
      <c r="G225" s="14" t="s">
        <v>201</v>
      </c>
      <c r="H225" s="16" t="n">
        <v>5.9</v>
      </c>
      <c r="I225" s="17" t="n">
        <v>34.602</v>
      </c>
      <c r="J225" s="18" t="n">
        <v>420584.494</v>
      </c>
      <c r="K225" s="18" t="n">
        <v>2044399.677</v>
      </c>
      <c r="L225" s="19" t="n">
        <v>18.4885153</v>
      </c>
      <c r="M225" s="19" t="n">
        <v>-69.7522564</v>
      </c>
      <c r="N225" s="14" t="n">
        <v>220</v>
      </c>
      <c r="O225" s="14" t="s">
        <v>344</v>
      </c>
      <c r="P225" s="15" t="s">
        <v>345</v>
      </c>
      <c r="Q225" s="20" t="s">
        <v>25</v>
      </c>
    </row>
    <row r="226" customFormat="false" ht="15" hidden="false" customHeight="false" outlineLevel="0" collapsed="false">
      <c r="A226" s="7" t="s">
        <v>346</v>
      </c>
      <c r="B226" s="7" t="s">
        <v>38</v>
      </c>
      <c r="C226" s="7" t="s">
        <v>6</v>
      </c>
      <c r="D226" s="8" t="s">
        <v>150</v>
      </c>
      <c r="E226" s="7"/>
      <c r="F226" s="8"/>
      <c r="G226" s="7" t="s">
        <v>201</v>
      </c>
      <c r="H226" s="9" t="n">
        <v>5.9</v>
      </c>
      <c r="I226" s="10" t="n">
        <v>34.997</v>
      </c>
      <c r="J226" s="11" t="n">
        <v>420529.248</v>
      </c>
      <c r="K226" s="11" t="n">
        <v>2044397.124</v>
      </c>
      <c r="L226" s="12" t="n">
        <v>18.4884901</v>
      </c>
      <c r="M226" s="12" t="n">
        <v>-69.7527796</v>
      </c>
      <c r="N226" s="7" t="n">
        <v>221</v>
      </c>
      <c r="O226" s="7" t="s">
        <v>40</v>
      </c>
      <c r="P226" s="8"/>
      <c r="Q226" s="13" t="s">
        <v>25</v>
      </c>
    </row>
    <row r="227" customFormat="false" ht="15" hidden="false" customHeight="false" outlineLevel="0" collapsed="false">
      <c r="A227" s="14" t="s">
        <v>347</v>
      </c>
      <c r="B227" s="14" t="s">
        <v>21</v>
      </c>
      <c r="C227" s="14" t="s">
        <v>6</v>
      </c>
      <c r="D227" s="15" t="s">
        <v>326</v>
      </c>
      <c r="E227" s="14"/>
      <c r="F227" s="15"/>
      <c r="G227" s="14" t="s">
        <v>201</v>
      </c>
      <c r="H227" s="16" t="n">
        <v>4.7</v>
      </c>
      <c r="I227" s="17" t="n">
        <v>33.702</v>
      </c>
      <c r="J227" s="18" t="n">
        <v>420445.624</v>
      </c>
      <c r="K227" s="18" t="n">
        <v>2044500.274</v>
      </c>
      <c r="L227" s="19" t="n">
        <v>18.4894192</v>
      </c>
      <c r="M227" s="19" t="n">
        <v>-69.7535757</v>
      </c>
      <c r="N227" s="14" t="n">
        <v>222</v>
      </c>
      <c r="O227" s="14" t="s">
        <v>24</v>
      </c>
      <c r="P227" s="15"/>
      <c r="Q227" s="20" t="s">
        <v>25</v>
      </c>
    </row>
    <row r="228" customFormat="false" ht="15" hidden="false" customHeight="false" outlineLevel="0" collapsed="false">
      <c r="A228" s="7" t="s">
        <v>348</v>
      </c>
      <c r="B228" s="7" t="s">
        <v>21</v>
      </c>
      <c r="C228" s="7" t="s">
        <v>6</v>
      </c>
      <c r="D228" s="8" t="s">
        <v>326</v>
      </c>
      <c r="E228" s="7"/>
      <c r="F228" s="8"/>
      <c r="G228" s="7" t="s">
        <v>201</v>
      </c>
      <c r="H228" s="9" t="n">
        <v>20.5</v>
      </c>
      <c r="I228" s="10" t="n">
        <v>33.733</v>
      </c>
      <c r="J228" s="11" t="n">
        <v>420429.833</v>
      </c>
      <c r="K228" s="11" t="n">
        <v>2044499.075</v>
      </c>
      <c r="L228" s="12" t="n">
        <v>18.4894078</v>
      </c>
      <c r="M228" s="12" t="n">
        <v>-69.7537252</v>
      </c>
      <c r="N228" s="7" t="n">
        <v>223</v>
      </c>
      <c r="O228" s="7" t="s">
        <v>24</v>
      </c>
      <c r="P228" s="8"/>
      <c r="Q228" s="13" t="s">
        <v>25</v>
      </c>
    </row>
    <row r="229" customFormat="false" ht="15" hidden="false" customHeight="false" outlineLevel="0" collapsed="false">
      <c r="A229" s="14" t="s">
        <v>349</v>
      </c>
      <c r="B229" s="14" t="s">
        <v>38</v>
      </c>
      <c r="C229" s="14" t="s">
        <v>6</v>
      </c>
      <c r="D229" s="15" t="s">
        <v>326</v>
      </c>
      <c r="E229" s="14"/>
      <c r="F229" s="15"/>
      <c r="G229" s="14" t="s">
        <v>201</v>
      </c>
      <c r="H229" s="16" t="n">
        <v>4.9</v>
      </c>
      <c r="I229" s="17" t="n">
        <v>34.131</v>
      </c>
      <c r="J229" s="18" t="n">
        <v>420445.273</v>
      </c>
      <c r="K229" s="18" t="n">
        <v>2044520.998</v>
      </c>
      <c r="L229" s="19" t="n">
        <v>18.4896065</v>
      </c>
      <c r="M229" s="19" t="n">
        <v>-69.7535798</v>
      </c>
      <c r="N229" s="14" t="n">
        <v>224</v>
      </c>
      <c r="O229" s="14" t="s">
        <v>40</v>
      </c>
      <c r="P229" s="15"/>
      <c r="Q229" s="20" t="s">
        <v>25</v>
      </c>
    </row>
    <row r="230" customFormat="false" ht="15" hidden="false" customHeight="false" outlineLevel="0" collapsed="false">
      <c r="A230" s="7" t="s">
        <v>350</v>
      </c>
      <c r="B230" s="7" t="s">
        <v>38</v>
      </c>
      <c r="C230" s="7" t="s">
        <v>6</v>
      </c>
      <c r="D230" s="8" t="s">
        <v>326</v>
      </c>
      <c r="E230" s="7"/>
      <c r="F230" s="8"/>
      <c r="G230" s="7" t="s">
        <v>201</v>
      </c>
      <c r="H230" s="9" t="n">
        <v>4.7</v>
      </c>
      <c r="I230" s="10" t="n">
        <v>33.949</v>
      </c>
      <c r="J230" s="11" t="n">
        <v>420445.199</v>
      </c>
      <c r="K230" s="11" t="n">
        <v>2044545.559</v>
      </c>
      <c r="L230" s="12" t="n">
        <v>18.4898284</v>
      </c>
      <c r="M230" s="12" t="n">
        <v>-69.7535815</v>
      </c>
      <c r="N230" s="7" t="n">
        <v>225</v>
      </c>
      <c r="O230" s="7" t="s">
        <v>40</v>
      </c>
      <c r="P230" s="8"/>
      <c r="Q230" s="13" t="s">
        <v>25</v>
      </c>
    </row>
    <row r="231" customFormat="false" ht="15" hidden="false" customHeight="false" outlineLevel="0" collapsed="false">
      <c r="A231" s="14" t="s">
        <v>351</v>
      </c>
      <c r="B231" s="14" t="s">
        <v>38</v>
      </c>
      <c r="C231" s="14" t="s">
        <v>6</v>
      </c>
      <c r="D231" s="15" t="s">
        <v>326</v>
      </c>
      <c r="E231" s="14"/>
      <c r="F231" s="15"/>
      <c r="G231" s="14" t="s">
        <v>201</v>
      </c>
      <c r="H231" s="16" t="n">
        <v>5</v>
      </c>
      <c r="I231" s="17" t="n">
        <v>34.243</v>
      </c>
      <c r="J231" s="18" t="n">
        <v>420444.701</v>
      </c>
      <c r="K231" s="18" t="n">
        <v>2044572.007</v>
      </c>
      <c r="L231" s="19" t="n">
        <v>18.4900674</v>
      </c>
      <c r="M231" s="19" t="n">
        <v>-69.7535873</v>
      </c>
      <c r="N231" s="14" t="n">
        <v>226</v>
      </c>
      <c r="O231" s="14" t="s">
        <v>40</v>
      </c>
      <c r="P231" s="15"/>
      <c r="Q231" s="20" t="s">
        <v>25</v>
      </c>
    </row>
    <row r="232" customFormat="false" ht="15" hidden="false" customHeight="false" outlineLevel="0" collapsed="false">
      <c r="A232" s="7" t="s">
        <v>352</v>
      </c>
      <c r="B232" s="7" t="s">
        <v>38</v>
      </c>
      <c r="C232" s="7" t="s">
        <v>6</v>
      </c>
      <c r="D232" s="8" t="s">
        <v>326</v>
      </c>
      <c r="E232" s="7"/>
      <c r="F232" s="8"/>
      <c r="G232" s="7" t="s">
        <v>201</v>
      </c>
      <c r="H232" s="9" t="n">
        <v>20.7</v>
      </c>
      <c r="I232" s="10" t="n">
        <v>34.115</v>
      </c>
      <c r="J232" s="11" t="n">
        <v>420429.013</v>
      </c>
      <c r="K232" s="11" t="n">
        <v>2044571.931</v>
      </c>
      <c r="L232" s="12" t="n">
        <v>18.4900661</v>
      </c>
      <c r="M232" s="12" t="n">
        <v>-69.7537359</v>
      </c>
      <c r="N232" s="7" t="n">
        <v>227</v>
      </c>
      <c r="O232" s="7" t="s">
        <v>40</v>
      </c>
      <c r="P232" s="8"/>
      <c r="Q232" s="13" t="s">
        <v>25</v>
      </c>
    </row>
    <row r="233" customFormat="false" ht="15" hidden="false" customHeight="false" outlineLevel="0" collapsed="false">
      <c r="A233" s="14" t="s">
        <v>353</v>
      </c>
      <c r="B233" s="14" t="s">
        <v>38</v>
      </c>
      <c r="C233" s="14" t="s">
        <v>6</v>
      </c>
      <c r="D233" s="15" t="s">
        <v>326</v>
      </c>
      <c r="E233" s="14"/>
      <c r="F233" s="15"/>
      <c r="G233" s="14" t="s">
        <v>201</v>
      </c>
      <c r="H233" s="16" t="n">
        <v>4.8</v>
      </c>
      <c r="I233" s="17" t="n">
        <v>34.256</v>
      </c>
      <c r="J233" s="18" t="n">
        <v>420444.626</v>
      </c>
      <c r="K233" s="18" t="n">
        <v>2044595.724</v>
      </c>
      <c r="L233" s="19" t="n">
        <v>18.4902818</v>
      </c>
      <c r="M233" s="19" t="n">
        <v>-69.7535889</v>
      </c>
      <c r="N233" s="14" t="n">
        <v>228</v>
      </c>
      <c r="O233" s="14" t="s">
        <v>40</v>
      </c>
      <c r="P233" s="15"/>
      <c r="Q233" s="20" t="s">
        <v>25</v>
      </c>
    </row>
    <row r="234" customFormat="false" ht="15" hidden="false" customHeight="false" outlineLevel="0" collapsed="false">
      <c r="A234" s="7" t="s">
        <v>354</v>
      </c>
      <c r="B234" s="7" t="s">
        <v>38</v>
      </c>
      <c r="C234" s="7" t="s">
        <v>6</v>
      </c>
      <c r="D234" s="8" t="s">
        <v>326</v>
      </c>
      <c r="E234" s="7"/>
      <c r="F234" s="8"/>
      <c r="G234" s="7" t="s">
        <v>201</v>
      </c>
      <c r="H234" s="9" t="n">
        <v>4.8</v>
      </c>
      <c r="I234" s="10" t="n">
        <v>34.358</v>
      </c>
      <c r="J234" s="11" t="n">
        <v>420444.367</v>
      </c>
      <c r="K234" s="11" t="n">
        <v>2044623.696</v>
      </c>
      <c r="L234" s="12" t="n">
        <v>18.4905345</v>
      </c>
      <c r="M234" s="12" t="n">
        <v>-69.7535925</v>
      </c>
      <c r="N234" s="7" t="n">
        <v>229</v>
      </c>
      <c r="O234" s="7" t="s">
        <v>40</v>
      </c>
      <c r="P234" s="8"/>
      <c r="Q234" s="13" t="s">
        <v>25</v>
      </c>
    </row>
    <row r="235" customFormat="false" ht="15" hidden="false" customHeight="false" outlineLevel="0" collapsed="false">
      <c r="A235" s="14" t="s">
        <v>355</v>
      </c>
      <c r="B235" s="14" t="s">
        <v>21</v>
      </c>
      <c r="C235" s="14" t="s">
        <v>6</v>
      </c>
      <c r="D235" s="15" t="s">
        <v>326</v>
      </c>
      <c r="E235" s="14"/>
      <c r="F235" s="15"/>
      <c r="G235" s="14" t="s">
        <v>201</v>
      </c>
      <c r="H235" s="16" t="n">
        <v>5.1</v>
      </c>
      <c r="I235" s="17" t="n">
        <v>32.455</v>
      </c>
      <c r="J235" s="18" t="n">
        <v>420443.235</v>
      </c>
      <c r="K235" s="18" t="n">
        <v>2044716.976</v>
      </c>
      <c r="L235" s="19" t="n">
        <v>18.4913775</v>
      </c>
      <c r="M235" s="19" t="n">
        <v>-69.7536069</v>
      </c>
      <c r="N235" s="14" t="n">
        <v>230</v>
      </c>
      <c r="O235" s="14" t="s">
        <v>24</v>
      </c>
      <c r="P235" s="15"/>
      <c r="Q235" s="20" t="s">
        <v>25</v>
      </c>
    </row>
    <row r="236" customFormat="false" ht="15" hidden="false" customHeight="false" outlineLevel="0" collapsed="false">
      <c r="A236" s="7" t="s">
        <v>356</v>
      </c>
      <c r="B236" s="7" t="s">
        <v>21</v>
      </c>
      <c r="C236" s="7" t="s">
        <v>6</v>
      </c>
      <c r="D236" s="8" t="s">
        <v>326</v>
      </c>
      <c r="E236" s="7"/>
      <c r="F236" s="8"/>
      <c r="G236" s="7" t="s">
        <v>201</v>
      </c>
      <c r="H236" s="9" t="n">
        <v>20.9</v>
      </c>
      <c r="I236" s="10" t="n">
        <v>32.467</v>
      </c>
      <c r="J236" s="11" t="n">
        <v>420427.361</v>
      </c>
      <c r="K236" s="11" t="n">
        <v>2044716.369</v>
      </c>
      <c r="L236" s="12" t="n">
        <v>18.4913714</v>
      </c>
      <c r="M236" s="12" t="n">
        <v>-69.7537572</v>
      </c>
      <c r="N236" s="7" t="n">
        <v>231</v>
      </c>
      <c r="O236" s="7" t="s">
        <v>24</v>
      </c>
      <c r="P236" s="8"/>
      <c r="Q236" s="13" t="s">
        <v>25</v>
      </c>
    </row>
    <row r="237" customFormat="false" ht="15" hidden="false" customHeight="false" outlineLevel="0" collapsed="false">
      <c r="A237" s="14" t="s">
        <v>357</v>
      </c>
      <c r="B237" s="14" t="s">
        <v>38</v>
      </c>
      <c r="C237" s="14" t="s">
        <v>6</v>
      </c>
      <c r="D237" s="15" t="s">
        <v>326</v>
      </c>
      <c r="E237" s="14"/>
      <c r="F237" s="15"/>
      <c r="G237" s="14" t="s">
        <v>201</v>
      </c>
      <c r="H237" s="16" t="n">
        <v>5.1</v>
      </c>
      <c r="I237" s="17" t="n">
        <v>32.627</v>
      </c>
      <c r="J237" s="18" t="n">
        <v>420442.833</v>
      </c>
      <c r="K237" s="18" t="n">
        <v>2044760.314</v>
      </c>
      <c r="L237" s="19" t="n">
        <v>18.4917692</v>
      </c>
      <c r="M237" s="19" t="n">
        <v>-69.7536124</v>
      </c>
      <c r="N237" s="14" t="n">
        <v>232</v>
      </c>
      <c r="O237" s="14" t="s">
        <v>40</v>
      </c>
      <c r="P237" s="15"/>
      <c r="Q237" s="20" t="s">
        <v>25</v>
      </c>
    </row>
    <row r="238" customFormat="false" ht="15" hidden="false" customHeight="false" outlineLevel="0" collapsed="false">
      <c r="A238" s="7" t="s">
        <v>358</v>
      </c>
      <c r="B238" s="7" t="s">
        <v>38</v>
      </c>
      <c r="C238" s="7" t="s">
        <v>6</v>
      </c>
      <c r="D238" s="8" t="s">
        <v>326</v>
      </c>
      <c r="E238" s="7"/>
      <c r="F238" s="8"/>
      <c r="G238" s="7" t="s">
        <v>201</v>
      </c>
      <c r="H238" s="9" t="n">
        <v>20.9</v>
      </c>
      <c r="I238" s="10" t="n">
        <v>32.746</v>
      </c>
      <c r="J238" s="11" t="n">
        <v>420426.983</v>
      </c>
      <c r="K238" s="11" t="n">
        <v>2044761.143</v>
      </c>
      <c r="L238" s="12" t="n">
        <v>18.4917761</v>
      </c>
      <c r="M238" s="12" t="n">
        <v>-69.7537626</v>
      </c>
      <c r="N238" s="7" t="n">
        <v>233</v>
      </c>
      <c r="O238" s="7" t="s">
        <v>40</v>
      </c>
      <c r="P238" s="8"/>
      <c r="Q238" s="13" t="s">
        <v>25</v>
      </c>
    </row>
    <row r="239" customFormat="false" ht="15" hidden="false" customHeight="false" outlineLevel="0" collapsed="false">
      <c r="A239" s="14" t="s">
        <v>359</v>
      </c>
      <c r="B239" s="14" t="s">
        <v>38</v>
      </c>
      <c r="C239" s="14" t="s">
        <v>6</v>
      </c>
      <c r="D239" s="15" t="s">
        <v>326</v>
      </c>
      <c r="E239" s="14"/>
      <c r="F239" s="15"/>
      <c r="G239" s="14" t="s">
        <v>207</v>
      </c>
      <c r="H239" s="16" t="n">
        <v>5.9</v>
      </c>
      <c r="I239" s="17" t="n">
        <v>32.708</v>
      </c>
      <c r="J239" s="18" t="n">
        <v>420442.306</v>
      </c>
      <c r="K239" s="18" t="n">
        <v>2044808.689</v>
      </c>
      <c r="L239" s="19" t="n">
        <v>18.4922063</v>
      </c>
      <c r="M239" s="19" t="n">
        <v>-69.7536193</v>
      </c>
      <c r="N239" s="14" t="n">
        <v>234</v>
      </c>
      <c r="O239" s="14" t="s">
        <v>40</v>
      </c>
      <c r="P239" s="15"/>
      <c r="Q239" s="20" t="s">
        <v>25</v>
      </c>
    </row>
    <row r="240" customFormat="false" ht="15" hidden="false" customHeight="false" outlineLevel="0" collapsed="false">
      <c r="A240" s="7" t="s">
        <v>360</v>
      </c>
      <c r="B240" s="7" t="s">
        <v>38</v>
      </c>
      <c r="C240" s="7" t="s">
        <v>6</v>
      </c>
      <c r="D240" s="8" t="s">
        <v>326</v>
      </c>
      <c r="E240" s="7"/>
      <c r="F240" s="8"/>
      <c r="G240" s="7" t="s">
        <v>207</v>
      </c>
      <c r="H240" s="9" t="n">
        <v>21.1</v>
      </c>
      <c r="I240" s="10" t="n">
        <v>32.763</v>
      </c>
      <c r="J240" s="11" t="n">
        <v>420426.496</v>
      </c>
      <c r="K240" s="11" t="n">
        <v>2044808.656</v>
      </c>
      <c r="L240" s="12" t="n">
        <v>18.4922054</v>
      </c>
      <c r="M240" s="12" t="n">
        <v>-69.7537691</v>
      </c>
      <c r="N240" s="7" t="n">
        <v>235</v>
      </c>
      <c r="O240" s="7" t="s">
        <v>40</v>
      </c>
      <c r="P240" s="8"/>
      <c r="Q240" s="13" t="s">
        <v>25</v>
      </c>
    </row>
    <row r="241" customFormat="false" ht="15" hidden="false" customHeight="false" outlineLevel="0" collapsed="false">
      <c r="A241" s="14" t="s">
        <v>361</v>
      </c>
      <c r="B241" s="14" t="s">
        <v>38</v>
      </c>
      <c r="C241" s="14" t="s">
        <v>6</v>
      </c>
      <c r="D241" s="15" t="s">
        <v>112</v>
      </c>
      <c r="E241" s="14"/>
      <c r="F241" s="15"/>
      <c r="G241" s="14" t="s">
        <v>205</v>
      </c>
      <c r="H241" s="16" t="n">
        <v>20.2</v>
      </c>
      <c r="I241" s="17" t="n">
        <v>32.36</v>
      </c>
      <c r="J241" s="18" t="n">
        <v>420473.517</v>
      </c>
      <c r="K241" s="18" t="n">
        <v>2044834.582</v>
      </c>
      <c r="L241" s="19" t="n">
        <v>18.4924415</v>
      </c>
      <c r="M241" s="19" t="n">
        <v>-69.7533247</v>
      </c>
      <c r="N241" s="14" t="n">
        <v>236</v>
      </c>
      <c r="O241" s="14" t="s">
        <v>40</v>
      </c>
      <c r="P241" s="15"/>
      <c r="Q241" s="20" t="s">
        <v>25</v>
      </c>
    </row>
    <row r="242" customFormat="false" ht="15" hidden="false" customHeight="false" outlineLevel="0" collapsed="false">
      <c r="A242" s="7" t="s">
        <v>362</v>
      </c>
      <c r="B242" s="7" t="s">
        <v>21</v>
      </c>
      <c r="C242" s="7" t="s">
        <v>6</v>
      </c>
      <c r="D242" s="8" t="s">
        <v>199</v>
      </c>
      <c r="E242" s="7"/>
      <c r="F242" s="8"/>
      <c r="G242" s="7" t="s">
        <v>197</v>
      </c>
      <c r="H242" s="9" t="n">
        <v>3.3</v>
      </c>
      <c r="I242" s="10" t="n">
        <v>33.432</v>
      </c>
      <c r="J242" s="11" t="n">
        <v>420765.042</v>
      </c>
      <c r="K242" s="11" t="n">
        <v>2044919.253</v>
      </c>
      <c r="L242" s="12" t="n">
        <v>18.4932177</v>
      </c>
      <c r="M242" s="12" t="n">
        <v>-69.7505667</v>
      </c>
      <c r="N242" s="7" t="n">
        <v>237</v>
      </c>
      <c r="O242" s="7" t="s">
        <v>24</v>
      </c>
      <c r="P242" s="8"/>
      <c r="Q242" s="13" t="s">
        <v>25</v>
      </c>
    </row>
    <row r="243" customFormat="false" ht="25.35" hidden="false" customHeight="false" outlineLevel="0" collapsed="false">
      <c r="A243" s="14" t="s">
        <v>363</v>
      </c>
      <c r="B243" s="14" t="s">
        <v>38</v>
      </c>
      <c r="C243" s="14" t="s">
        <v>6</v>
      </c>
      <c r="D243" s="15" t="s">
        <v>199</v>
      </c>
      <c r="E243" s="14"/>
      <c r="F243" s="15"/>
      <c r="G243" s="14" t="s">
        <v>364</v>
      </c>
      <c r="H243" s="16" t="n">
        <v>3.9</v>
      </c>
      <c r="I243" s="17" t="n">
        <v>33.562</v>
      </c>
      <c r="J243" s="18" t="n">
        <v>420764.705</v>
      </c>
      <c r="K243" s="18" t="n">
        <v>2044960.231</v>
      </c>
      <c r="L243" s="19" t="n">
        <v>18.493588</v>
      </c>
      <c r="M243" s="19" t="n">
        <v>-69.7505715</v>
      </c>
      <c r="N243" s="14" t="n">
        <v>238</v>
      </c>
      <c r="O243" s="14" t="s">
        <v>365</v>
      </c>
      <c r="P243" s="15" t="s">
        <v>366</v>
      </c>
      <c r="Q243" s="20" t="s">
        <v>25</v>
      </c>
    </row>
    <row r="244" customFormat="false" ht="15" hidden="false" customHeight="false" outlineLevel="0" collapsed="false">
      <c r="A244" s="7" t="s">
        <v>367</v>
      </c>
      <c r="B244" s="7" t="s">
        <v>21</v>
      </c>
      <c r="C244" s="7" t="s">
        <v>6</v>
      </c>
      <c r="D244" s="8" t="s">
        <v>199</v>
      </c>
      <c r="E244" s="7"/>
      <c r="F244" s="8"/>
      <c r="G244" s="7" t="s">
        <v>368</v>
      </c>
      <c r="H244" s="9" t="n">
        <v>3.9</v>
      </c>
      <c r="I244" s="10" t="n">
        <v>33.352</v>
      </c>
      <c r="J244" s="11" t="n">
        <v>420764.216</v>
      </c>
      <c r="K244" s="11" t="n">
        <v>2045014.069</v>
      </c>
      <c r="L244" s="12" t="n">
        <v>18.4940745</v>
      </c>
      <c r="M244" s="12" t="n">
        <v>-69.7505783</v>
      </c>
      <c r="N244" s="7" t="n">
        <v>239</v>
      </c>
      <c r="O244" s="7" t="s">
        <v>24</v>
      </c>
      <c r="P244" s="8"/>
      <c r="Q244" s="13" t="s">
        <v>25</v>
      </c>
    </row>
    <row r="245" customFormat="false" ht="15" hidden="false" customHeight="false" outlineLevel="0" collapsed="false">
      <c r="A245" s="14" t="s">
        <v>369</v>
      </c>
      <c r="B245" s="14" t="s">
        <v>38</v>
      </c>
      <c r="C245" s="14" t="s">
        <v>6</v>
      </c>
      <c r="D245" s="15" t="s">
        <v>199</v>
      </c>
      <c r="E245" s="14"/>
      <c r="F245" s="15"/>
      <c r="G245" s="14" t="s">
        <v>368</v>
      </c>
      <c r="H245" s="16" t="n">
        <v>3.9</v>
      </c>
      <c r="I245" s="17" t="n">
        <v>33.54</v>
      </c>
      <c r="J245" s="18" t="n">
        <v>420763.65</v>
      </c>
      <c r="K245" s="18" t="n">
        <v>2045080.564</v>
      </c>
      <c r="L245" s="19" t="n">
        <v>18.4946755</v>
      </c>
      <c r="M245" s="19" t="n">
        <v>-69.7505862</v>
      </c>
      <c r="N245" s="14" t="n">
        <v>240</v>
      </c>
      <c r="O245" s="14" t="s">
        <v>40</v>
      </c>
      <c r="P245" s="15"/>
      <c r="Q245" s="20" t="s">
        <v>25</v>
      </c>
    </row>
    <row r="246" customFormat="false" ht="15" hidden="false" customHeight="false" outlineLevel="0" collapsed="false">
      <c r="A246" s="7" t="s">
        <v>370</v>
      </c>
      <c r="B246" s="7" t="s">
        <v>38</v>
      </c>
      <c r="C246" s="7" t="s">
        <v>6</v>
      </c>
      <c r="D246" s="8" t="s">
        <v>199</v>
      </c>
      <c r="E246" s="7"/>
      <c r="F246" s="8"/>
      <c r="G246" s="7" t="s">
        <v>368</v>
      </c>
      <c r="H246" s="9" t="n">
        <v>3.8</v>
      </c>
      <c r="I246" s="10" t="n">
        <v>33.905</v>
      </c>
      <c r="J246" s="11" t="n">
        <v>420763.169</v>
      </c>
      <c r="K246" s="11" t="n">
        <v>2045136.076</v>
      </c>
      <c r="L246" s="12" t="n">
        <v>18.4951771</v>
      </c>
      <c r="M246" s="12" t="n">
        <v>-69.750593</v>
      </c>
      <c r="N246" s="7" t="n">
        <v>241</v>
      </c>
      <c r="O246" s="7" t="s">
        <v>40</v>
      </c>
      <c r="P246" s="8"/>
      <c r="Q246" s="13" t="s">
        <v>25</v>
      </c>
    </row>
    <row r="247" customFormat="false" ht="25.35" hidden="false" customHeight="false" outlineLevel="0" collapsed="false">
      <c r="A247" s="14" t="s">
        <v>371</v>
      </c>
      <c r="B247" s="14" t="s">
        <v>38</v>
      </c>
      <c r="C247" s="14" t="s">
        <v>6</v>
      </c>
      <c r="D247" s="15" t="s">
        <v>199</v>
      </c>
      <c r="E247" s="14"/>
      <c r="F247" s="15"/>
      <c r="G247" s="14" t="s">
        <v>372</v>
      </c>
      <c r="H247" s="16" t="n">
        <v>3.8</v>
      </c>
      <c r="I247" s="17" t="n">
        <v>33.753</v>
      </c>
      <c r="J247" s="18" t="n">
        <v>420762.196</v>
      </c>
      <c r="K247" s="18" t="n">
        <v>2045251.065</v>
      </c>
      <c r="L247" s="19" t="n">
        <v>18.4962163</v>
      </c>
      <c r="M247" s="19" t="n">
        <v>-69.7506067</v>
      </c>
      <c r="N247" s="14" t="n">
        <v>242</v>
      </c>
      <c r="O247" s="14" t="s">
        <v>40</v>
      </c>
      <c r="P247" s="15" t="s">
        <v>373</v>
      </c>
      <c r="Q247" s="20" t="s">
        <v>25</v>
      </c>
    </row>
    <row r="248" customFormat="false" ht="25.35" hidden="false" customHeight="false" outlineLevel="0" collapsed="false">
      <c r="A248" s="7" t="s">
        <v>374</v>
      </c>
      <c r="B248" s="7" t="s">
        <v>38</v>
      </c>
      <c r="C248" s="7" t="s">
        <v>6</v>
      </c>
      <c r="D248" s="8" t="s">
        <v>199</v>
      </c>
      <c r="E248" s="7"/>
      <c r="F248" s="8"/>
      <c r="G248" s="7" t="s">
        <v>372</v>
      </c>
      <c r="H248" s="9" t="n">
        <v>3.8</v>
      </c>
      <c r="I248" s="10" t="n">
        <v>33.726</v>
      </c>
      <c r="J248" s="11" t="n">
        <v>420762.198</v>
      </c>
      <c r="K248" s="11" t="n">
        <v>2045251.051</v>
      </c>
      <c r="L248" s="12" t="n">
        <v>18.4962162</v>
      </c>
      <c r="M248" s="12" t="n">
        <v>-69.7506067</v>
      </c>
      <c r="N248" s="7" t="n">
        <v>243</v>
      </c>
      <c r="O248" s="7" t="s">
        <v>40</v>
      </c>
      <c r="P248" s="8" t="s">
        <v>375</v>
      </c>
      <c r="Q248" s="13" t="s">
        <v>25</v>
      </c>
    </row>
    <row r="249" customFormat="false" ht="15" hidden="false" customHeight="false" outlineLevel="0" collapsed="false">
      <c r="A249" s="14" t="s">
        <v>376</v>
      </c>
      <c r="B249" s="14" t="s">
        <v>38</v>
      </c>
      <c r="C249" s="14" t="s">
        <v>6</v>
      </c>
      <c r="D249" s="15" t="s">
        <v>199</v>
      </c>
      <c r="E249" s="14"/>
      <c r="F249" s="15"/>
      <c r="G249" s="14" t="s">
        <v>372</v>
      </c>
      <c r="H249" s="16" t="n">
        <v>3.9</v>
      </c>
      <c r="I249" s="17" t="n">
        <v>32.544</v>
      </c>
      <c r="J249" s="18" t="n">
        <v>420761.73</v>
      </c>
      <c r="K249" s="18" t="n">
        <v>2045295.717</v>
      </c>
      <c r="L249" s="19" t="n">
        <v>18.4966198</v>
      </c>
      <c r="M249" s="19" t="n">
        <v>-69.7506129</v>
      </c>
      <c r="N249" s="14" t="n">
        <v>244</v>
      </c>
      <c r="O249" s="14" t="s">
        <v>40</v>
      </c>
      <c r="P249" s="15"/>
      <c r="Q249" s="20" t="s">
        <v>25</v>
      </c>
    </row>
    <row r="250" customFormat="false" ht="15" hidden="false" customHeight="false" outlineLevel="0" collapsed="false">
      <c r="A250" s="7" t="s">
        <v>377</v>
      </c>
      <c r="B250" s="7" t="s">
        <v>38</v>
      </c>
      <c r="C250" s="7" t="s">
        <v>6</v>
      </c>
      <c r="D250" s="8" t="s">
        <v>199</v>
      </c>
      <c r="E250" s="7"/>
      <c r="F250" s="8"/>
      <c r="G250" s="7" t="s">
        <v>372</v>
      </c>
      <c r="H250" s="9" t="n">
        <v>3.9</v>
      </c>
      <c r="I250" s="10" t="n">
        <v>31.703</v>
      </c>
      <c r="J250" s="11" t="n">
        <v>420760.995</v>
      </c>
      <c r="K250" s="11" t="n">
        <v>2045372.301</v>
      </c>
      <c r="L250" s="12" t="n">
        <v>18.4973119</v>
      </c>
      <c r="M250" s="12" t="n">
        <v>-69.7506229</v>
      </c>
      <c r="N250" s="7" t="n">
        <v>245</v>
      </c>
      <c r="O250" s="7" t="s">
        <v>40</v>
      </c>
      <c r="P250" s="8"/>
      <c r="Q250" s="13" t="s">
        <v>25</v>
      </c>
    </row>
    <row r="251" customFormat="false" ht="15" hidden="false" customHeight="false" outlineLevel="0" collapsed="false">
      <c r="A251" s="14" t="s">
        <v>378</v>
      </c>
      <c r="B251" s="14" t="s">
        <v>38</v>
      </c>
      <c r="C251" s="14" t="s">
        <v>6</v>
      </c>
      <c r="D251" s="15" t="s">
        <v>199</v>
      </c>
      <c r="E251" s="14"/>
      <c r="F251" s="15"/>
      <c r="G251" s="14" t="s">
        <v>372</v>
      </c>
      <c r="H251" s="16" t="n">
        <v>3.9</v>
      </c>
      <c r="I251" s="17" t="n">
        <v>31.56</v>
      </c>
      <c r="J251" s="18" t="n">
        <v>420761.042</v>
      </c>
      <c r="K251" s="18" t="n">
        <v>2045372.398</v>
      </c>
      <c r="L251" s="19" t="n">
        <v>18.4973128</v>
      </c>
      <c r="M251" s="19" t="n">
        <v>-69.7506224</v>
      </c>
      <c r="N251" s="14" t="n">
        <v>246</v>
      </c>
      <c r="O251" s="14" t="s">
        <v>40</v>
      </c>
      <c r="P251" s="15"/>
      <c r="Q251" s="20" t="s">
        <v>25</v>
      </c>
    </row>
    <row r="252" customFormat="false" ht="15" hidden="false" customHeight="false" outlineLevel="0" collapsed="false">
      <c r="A252" s="7" t="s">
        <v>379</v>
      </c>
      <c r="B252" s="7" t="s">
        <v>38</v>
      </c>
      <c r="C252" s="7" t="s">
        <v>6</v>
      </c>
      <c r="D252" s="8" t="s">
        <v>199</v>
      </c>
      <c r="E252" s="7"/>
      <c r="F252" s="8"/>
      <c r="G252" s="7" t="s">
        <v>372</v>
      </c>
      <c r="H252" s="9" t="n">
        <v>5</v>
      </c>
      <c r="I252" s="10" t="n">
        <v>30.748</v>
      </c>
      <c r="J252" s="11" t="n">
        <v>420761.645</v>
      </c>
      <c r="K252" s="11" t="n">
        <v>2045427.433</v>
      </c>
      <c r="L252" s="12" t="n">
        <v>18.4978102</v>
      </c>
      <c r="M252" s="12" t="n">
        <v>-69.7506189</v>
      </c>
      <c r="N252" s="7" t="n">
        <v>247</v>
      </c>
      <c r="O252" s="7" t="s">
        <v>40</v>
      </c>
      <c r="P252" s="8"/>
      <c r="Q252" s="13" t="s">
        <v>25</v>
      </c>
    </row>
    <row r="253" customFormat="false" ht="15" hidden="false" customHeight="false" outlineLevel="0" collapsed="false">
      <c r="A253" s="14" t="s">
        <v>380</v>
      </c>
      <c r="B253" s="14" t="s">
        <v>38</v>
      </c>
      <c r="C253" s="14" t="s">
        <v>6</v>
      </c>
      <c r="D253" s="15" t="s">
        <v>199</v>
      </c>
      <c r="E253" s="14"/>
      <c r="F253" s="15"/>
      <c r="G253" s="14" t="s">
        <v>381</v>
      </c>
      <c r="H253" s="16" t="n">
        <v>3.9</v>
      </c>
      <c r="I253" s="17" t="n">
        <v>30.296</v>
      </c>
      <c r="J253" s="18" t="n">
        <v>420759.849</v>
      </c>
      <c r="K253" s="18" t="n">
        <v>2045511.327</v>
      </c>
      <c r="L253" s="19" t="n">
        <v>18.4985683</v>
      </c>
      <c r="M253" s="19" t="n">
        <v>-69.7506392</v>
      </c>
      <c r="N253" s="14" t="n">
        <v>248</v>
      </c>
      <c r="O253" s="14" t="s">
        <v>40</v>
      </c>
      <c r="P253" s="15"/>
      <c r="Q253" s="20" t="s">
        <v>25</v>
      </c>
    </row>
    <row r="254" customFormat="false" ht="15" hidden="false" customHeight="false" outlineLevel="0" collapsed="false">
      <c r="A254" s="7" t="s">
        <v>382</v>
      </c>
      <c r="B254" s="7" t="s">
        <v>21</v>
      </c>
      <c r="C254" s="7" t="s">
        <v>6</v>
      </c>
      <c r="D254" s="8" t="s">
        <v>199</v>
      </c>
      <c r="E254" s="7"/>
      <c r="F254" s="8"/>
      <c r="G254" s="7" t="s">
        <v>381</v>
      </c>
      <c r="H254" s="9" t="n">
        <v>3.8</v>
      </c>
      <c r="I254" s="10" t="n">
        <v>30.013</v>
      </c>
      <c r="J254" s="11" t="n">
        <v>420759.466</v>
      </c>
      <c r="K254" s="11" t="n">
        <v>2045562.164</v>
      </c>
      <c r="L254" s="12" t="n">
        <v>18.4990277</v>
      </c>
      <c r="M254" s="12" t="n">
        <v>-69.7506448</v>
      </c>
      <c r="N254" s="7" t="n">
        <v>249</v>
      </c>
      <c r="O254" s="7" t="s">
        <v>24</v>
      </c>
      <c r="P254" s="8"/>
      <c r="Q254" s="13" t="s">
        <v>25</v>
      </c>
    </row>
    <row r="255" customFormat="false" ht="15" hidden="false" customHeight="false" outlineLevel="0" collapsed="false">
      <c r="A255" s="14" t="s">
        <v>383</v>
      </c>
      <c r="B255" s="14" t="s">
        <v>21</v>
      </c>
      <c r="C255" s="14" t="s">
        <v>6</v>
      </c>
      <c r="D255" s="15" t="s">
        <v>199</v>
      </c>
      <c r="E255" s="14"/>
      <c r="F255" s="15"/>
      <c r="G255" s="14" t="s">
        <v>381</v>
      </c>
      <c r="H255" s="16" t="n">
        <v>19.9</v>
      </c>
      <c r="I255" s="17" t="n">
        <v>30.191</v>
      </c>
      <c r="J255" s="18" t="n">
        <v>420743.392</v>
      </c>
      <c r="K255" s="18" t="n">
        <v>2045561.421</v>
      </c>
      <c r="L255" s="19" t="n">
        <v>18.4990204</v>
      </c>
      <c r="M255" s="19" t="n">
        <v>-69.7507971</v>
      </c>
      <c r="N255" s="14" t="n">
        <v>250</v>
      </c>
      <c r="O255" s="14" t="s">
        <v>24</v>
      </c>
      <c r="P255" s="15"/>
      <c r="Q255" s="20" t="s">
        <v>25</v>
      </c>
    </row>
    <row r="256" customFormat="false" ht="15" hidden="false" customHeight="false" outlineLevel="0" collapsed="false">
      <c r="A256" s="7" t="s">
        <v>384</v>
      </c>
      <c r="B256" s="7" t="s">
        <v>21</v>
      </c>
      <c r="C256" s="7" t="s">
        <v>6</v>
      </c>
      <c r="D256" s="8" t="s">
        <v>199</v>
      </c>
      <c r="E256" s="7"/>
      <c r="F256" s="8"/>
      <c r="G256" s="7" t="s">
        <v>381</v>
      </c>
      <c r="H256" s="9" t="n">
        <v>20</v>
      </c>
      <c r="I256" s="10" t="n">
        <v>30.138</v>
      </c>
      <c r="J256" s="11" t="n">
        <v>420743.364</v>
      </c>
      <c r="K256" s="11" t="n">
        <v>2045552.723</v>
      </c>
      <c r="L256" s="12" t="n">
        <v>18.4989418</v>
      </c>
      <c r="M256" s="12" t="n">
        <v>-69.750797</v>
      </c>
      <c r="N256" s="7" t="n">
        <v>251</v>
      </c>
      <c r="O256" s="7" t="s">
        <v>24</v>
      </c>
      <c r="P256" s="8"/>
      <c r="Q256" s="13" t="s">
        <v>25</v>
      </c>
    </row>
    <row r="257" customFormat="false" ht="15" hidden="false" customHeight="false" outlineLevel="0" collapsed="false">
      <c r="A257" s="14" t="s">
        <v>385</v>
      </c>
      <c r="B257" s="14" t="s">
        <v>38</v>
      </c>
      <c r="C257" s="14" t="s">
        <v>6</v>
      </c>
      <c r="D257" s="15" t="s">
        <v>199</v>
      </c>
      <c r="E257" s="14"/>
      <c r="F257" s="15"/>
      <c r="G257" s="14" t="s">
        <v>381</v>
      </c>
      <c r="H257" s="16" t="n">
        <v>19.8</v>
      </c>
      <c r="I257" s="17" t="n">
        <v>30.403</v>
      </c>
      <c r="J257" s="18" t="n">
        <v>420743.693</v>
      </c>
      <c r="K257" s="18" t="n">
        <v>2045532.087</v>
      </c>
      <c r="L257" s="19" t="n">
        <v>18.4987553</v>
      </c>
      <c r="M257" s="19" t="n">
        <v>-69.7507931</v>
      </c>
      <c r="N257" s="14" t="n">
        <v>252</v>
      </c>
      <c r="O257" s="14" t="s">
        <v>40</v>
      </c>
      <c r="P257" s="15"/>
      <c r="Q257" s="20" t="s">
        <v>25</v>
      </c>
    </row>
    <row r="258" customFormat="false" ht="15" hidden="false" customHeight="false" outlineLevel="0" collapsed="false">
      <c r="A258" s="7" t="s">
        <v>386</v>
      </c>
      <c r="B258" s="7" t="s">
        <v>38</v>
      </c>
      <c r="C258" s="7" t="s">
        <v>6</v>
      </c>
      <c r="D258" s="8" t="s">
        <v>199</v>
      </c>
      <c r="E258" s="7"/>
      <c r="F258" s="8"/>
      <c r="G258" s="7" t="s">
        <v>381</v>
      </c>
      <c r="H258" s="9" t="n">
        <v>19.9</v>
      </c>
      <c r="I258" s="10" t="n">
        <v>30.434</v>
      </c>
      <c r="J258" s="11" t="n">
        <v>420743.805</v>
      </c>
      <c r="K258" s="11" t="n">
        <v>2045511.449</v>
      </c>
      <c r="L258" s="12" t="n">
        <v>18.4985688</v>
      </c>
      <c r="M258" s="12" t="n">
        <v>-69.7507912</v>
      </c>
      <c r="N258" s="7" t="n">
        <v>253</v>
      </c>
      <c r="O258" s="7" t="s">
        <v>40</v>
      </c>
      <c r="P258" s="8"/>
      <c r="Q258" s="13" t="s">
        <v>25</v>
      </c>
    </row>
    <row r="259" customFormat="false" ht="15" hidden="false" customHeight="false" outlineLevel="0" collapsed="false">
      <c r="A259" s="14" t="s">
        <v>387</v>
      </c>
      <c r="B259" s="14" t="s">
        <v>38</v>
      </c>
      <c r="C259" s="14" t="s">
        <v>6</v>
      </c>
      <c r="D259" s="15" t="s">
        <v>199</v>
      </c>
      <c r="E259" s="14"/>
      <c r="F259" s="15"/>
      <c r="G259" s="14" t="s">
        <v>388</v>
      </c>
      <c r="H259" s="16" t="n">
        <v>20</v>
      </c>
      <c r="I259" s="17" t="n">
        <v>30.443</v>
      </c>
      <c r="J259" s="18" t="n">
        <v>420743.925</v>
      </c>
      <c r="K259" s="18" t="n">
        <v>2045489.592</v>
      </c>
      <c r="L259" s="19" t="n">
        <v>18.4983713</v>
      </c>
      <c r="M259" s="19" t="n">
        <v>-69.7507892</v>
      </c>
      <c r="N259" s="14" t="n">
        <v>254</v>
      </c>
      <c r="O259" s="14" t="s">
        <v>40</v>
      </c>
      <c r="P259" s="15"/>
      <c r="Q259" s="20" t="s">
        <v>25</v>
      </c>
    </row>
    <row r="260" customFormat="false" ht="15" hidden="false" customHeight="false" outlineLevel="0" collapsed="false">
      <c r="A260" s="7" t="s">
        <v>389</v>
      </c>
      <c r="B260" s="7" t="s">
        <v>38</v>
      </c>
      <c r="C260" s="7" t="s">
        <v>6</v>
      </c>
      <c r="D260" s="8" t="s">
        <v>199</v>
      </c>
      <c r="E260" s="7"/>
      <c r="F260" s="8"/>
      <c r="G260" s="7" t="s">
        <v>388</v>
      </c>
      <c r="H260" s="9" t="n">
        <v>19.9</v>
      </c>
      <c r="I260" s="10" t="n">
        <v>30.87</v>
      </c>
      <c r="J260" s="11" t="n">
        <v>420744.236</v>
      </c>
      <c r="K260" s="11" t="n">
        <v>2045469.099</v>
      </c>
      <c r="L260" s="12" t="n">
        <v>18.4981861</v>
      </c>
      <c r="M260" s="12" t="n">
        <v>-69.7507854</v>
      </c>
      <c r="N260" s="7" t="n">
        <v>255</v>
      </c>
      <c r="O260" s="7" t="s">
        <v>40</v>
      </c>
      <c r="P260" s="8"/>
      <c r="Q260" s="13" t="s">
        <v>25</v>
      </c>
    </row>
    <row r="261" customFormat="false" ht="15" hidden="false" customHeight="false" outlineLevel="0" collapsed="false">
      <c r="A261" s="14" t="s">
        <v>390</v>
      </c>
      <c r="B261" s="14" t="s">
        <v>38</v>
      </c>
      <c r="C261" s="14" t="s">
        <v>6</v>
      </c>
      <c r="D261" s="15" t="s">
        <v>199</v>
      </c>
      <c r="E261" s="14"/>
      <c r="F261" s="15"/>
      <c r="G261" s="14" t="s">
        <v>372</v>
      </c>
      <c r="H261" s="16" t="n">
        <v>20</v>
      </c>
      <c r="I261" s="17" t="n">
        <v>30.921</v>
      </c>
      <c r="J261" s="18" t="n">
        <v>420744.516</v>
      </c>
      <c r="K261" s="18" t="n">
        <v>2045417.179</v>
      </c>
      <c r="L261" s="19" t="n">
        <v>18.4977169</v>
      </c>
      <c r="M261" s="19" t="n">
        <v>-69.7507807</v>
      </c>
      <c r="N261" s="14" t="n">
        <v>256</v>
      </c>
      <c r="O261" s="14" t="s">
        <v>40</v>
      </c>
      <c r="P261" s="15"/>
      <c r="Q261" s="20" t="s">
        <v>25</v>
      </c>
    </row>
    <row r="262" customFormat="false" ht="15" hidden="false" customHeight="false" outlineLevel="0" collapsed="false">
      <c r="A262" s="7" t="s">
        <v>391</v>
      </c>
      <c r="B262" s="7" t="s">
        <v>38</v>
      </c>
      <c r="C262" s="7" t="s">
        <v>6</v>
      </c>
      <c r="D262" s="8" t="s">
        <v>199</v>
      </c>
      <c r="E262" s="7"/>
      <c r="F262" s="8"/>
      <c r="G262" s="7" t="s">
        <v>372</v>
      </c>
      <c r="H262" s="9" t="n">
        <v>19.9</v>
      </c>
      <c r="I262" s="10" t="n">
        <v>31.444</v>
      </c>
      <c r="J262" s="11" t="n">
        <v>420744.886</v>
      </c>
      <c r="K262" s="11" t="n">
        <v>2045387.305</v>
      </c>
      <c r="L262" s="12" t="n">
        <v>18.4974469</v>
      </c>
      <c r="M262" s="12" t="n">
        <v>-69.7507761</v>
      </c>
      <c r="N262" s="7" t="n">
        <v>257</v>
      </c>
      <c r="O262" s="7" t="s">
        <v>40</v>
      </c>
      <c r="P262" s="8"/>
      <c r="Q262" s="13" t="s">
        <v>25</v>
      </c>
    </row>
    <row r="263" customFormat="false" ht="15" hidden="false" customHeight="false" outlineLevel="0" collapsed="false">
      <c r="A263" s="14" t="s">
        <v>392</v>
      </c>
      <c r="B263" s="14" t="s">
        <v>38</v>
      </c>
      <c r="C263" s="14" t="s">
        <v>6</v>
      </c>
      <c r="D263" s="15" t="s">
        <v>199</v>
      </c>
      <c r="E263" s="14"/>
      <c r="F263" s="15"/>
      <c r="G263" s="14" t="s">
        <v>372</v>
      </c>
      <c r="H263" s="16" t="n">
        <v>20.1</v>
      </c>
      <c r="I263" s="17" t="n">
        <v>31.667</v>
      </c>
      <c r="J263" s="18" t="n">
        <v>420745.026</v>
      </c>
      <c r="K263" s="18" t="n">
        <v>2045356.745</v>
      </c>
      <c r="L263" s="19" t="n">
        <v>18.4971707</v>
      </c>
      <c r="M263" s="19" t="n">
        <v>-69.7507735</v>
      </c>
      <c r="N263" s="14" t="n">
        <v>258</v>
      </c>
      <c r="O263" s="14" t="s">
        <v>40</v>
      </c>
      <c r="P263" s="15"/>
      <c r="Q263" s="20" t="s">
        <v>25</v>
      </c>
    </row>
    <row r="264" customFormat="false" ht="15" hidden="false" customHeight="false" outlineLevel="0" collapsed="false">
      <c r="A264" s="7" t="s">
        <v>393</v>
      </c>
      <c r="B264" s="7" t="s">
        <v>38</v>
      </c>
      <c r="C264" s="7" t="s">
        <v>6</v>
      </c>
      <c r="D264" s="8" t="s">
        <v>199</v>
      </c>
      <c r="E264" s="7"/>
      <c r="F264" s="8"/>
      <c r="G264" s="7" t="s">
        <v>372</v>
      </c>
      <c r="H264" s="9" t="n">
        <v>19.9</v>
      </c>
      <c r="I264" s="10" t="n">
        <v>32.314</v>
      </c>
      <c r="J264" s="11" t="n">
        <v>420745.444</v>
      </c>
      <c r="K264" s="11" t="n">
        <v>2045326.454</v>
      </c>
      <c r="L264" s="12" t="n">
        <v>18.496897</v>
      </c>
      <c r="M264" s="12" t="n">
        <v>-69.7507684</v>
      </c>
      <c r="N264" s="7" t="n">
        <v>259</v>
      </c>
      <c r="O264" s="7" t="s">
        <v>40</v>
      </c>
      <c r="P264" s="8"/>
      <c r="Q264" s="13" t="s">
        <v>25</v>
      </c>
    </row>
    <row r="265" customFormat="false" ht="15" hidden="false" customHeight="false" outlineLevel="0" collapsed="false">
      <c r="A265" s="14" t="s">
        <v>394</v>
      </c>
      <c r="B265" s="14" t="s">
        <v>38</v>
      </c>
      <c r="C265" s="14" t="s">
        <v>6</v>
      </c>
      <c r="D265" s="15" t="s">
        <v>199</v>
      </c>
      <c r="E265" s="14"/>
      <c r="F265" s="15"/>
      <c r="G265" s="14" t="s">
        <v>372</v>
      </c>
      <c r="H265" s="16" t="n">
        <v>20</v>
      </c>
      <c r="I265" s="17" t="n">
        <v>32.541</v>
      </c>
      <c r="J265" s="18" t="n">
        <v>420745.64</v>
      </c>
      <c r="K265" s="18" t="n">
        <v>2045295.273</v>
      </c>
      <c r="L265" s="19" t="n">
        <v>18.4966152</v>
      </c>
      <c r="M265" s="19" t="n">
        <v>-69.7507653</v>
      </c>
      <c r="N265" s="14" t="n">
        <v>260</v>
      </c>
      <c r="O265" s="14" t="s">
        <v>40</v>
      </c>
      <c r="P265" s="15"/>
      <c r="Q265" s="20" t="s">
        <v>25</v>
      </c>
    </row>
    <row r="266" customFormat="false" ht="15" hidden="false" customHeight="false" outlineLevel="0" collapsed="false">
      <c r="A266" s="7" t="s">
        <v>395</v>
      </c>
      <c r="B266" s="7" t="s">
        <v>38</v>
      </c>
      <c r="C266" s="7" t="s">
        <v>6</v>
      </c>
      <c r="D266" s="8" t="s">
        <v>199</v>
      </c>
      <c r="E266" s="7"/>
      <c r="F266" s="8"/>
      <c r="G266" s="7" t="s">
        <v>372</v>
      </c>
      <c r="H266" s="9" t="n">
        <v>20</v>
      </c>
      <c r="I266" s="10" t="n">
        <v>33.831</v>
      </c>
      <c r="J266" s="11" t="n">
        <v>420745.987</v>
      </c>
      <c r="K266" s="11" t="n">
        <v>2045249.966</v>
      </c>
      <c r="L266" s="12" t="n">
        <v>18.4962057</v>
      </c>
      <c r="M266" s="12" t="n">
        <v>-69.7507602</v>
      </c>
      <c r="N266" s="7" t="n">
        <v>261</v>
      </c>
      <c r="O266" s="7" t="s">
        <v>40</v>
      </c>
      <c r="P266" s="8"/>
      <c r="Q266" s="13" t="s">
        <v>25</v>
      </c>
    </row>
    <row r="267" customFormat="false" ht="15" hidden="false" customHeight="false" outlineLevel="0" collapsed="false">
      <c r="A267" s="14" t="s">
        <v>396</v>
      </c>
      <c r="B267" s="14" t="s">
        <v>38</v>
      </c>
      <c r="C267" s="14" t="s">
        <v>6</v>
      </c>
      <c r="D267" s="15" t="s">
        <v>199</v>
      </c>
      <c r="E267" s="14"/>
      <c r="F267" s="15"/>
      <c r="G267" s="14" t="s">
        <v>368</v>
      </c>
      <c r="H267" s="16" t="n">
        <v>20</v>
      </c>
      <c r="I267" s="17" t="n">
        <v>34.086</v>
      </c>
      <c r="J267" s="18" t="n">
        <v>420746.72</v>
      </c>
      <c r="K267" s="18" t="n">
        <v>2045166.978</v>
      </c>
      <c r="L267" s="19" t="n">
        <v>18.4954558</v>
      </c>
      <c r="M267" s="19" t="n">
        <v>-69.75075</v>
      </c>
      <c r="N267" s="14" t="n">
        <v>262</v>
      </c>
      <c r="O267" s="14" t="s">
        <v>40</v>
      </c>
      <c r="P267" s="15"/>
      <c r="Q267" s="20" t="s">
        <v>25</v>
      </c>
    </row>
    <row r="268" customFormat="false" ht="15" hidden="false" customHeight="false" outlineLevel="0" collapsed="false">
      <c r="A268" s="7" t="s">
        <v>397</v>
      </c>
      <c r="B268" s="7" t="s">
        <v>38</v>
      </c>
      <c r="C268" s="7" t="s">
        <v>6</v>
      </c>
      <c r="D268" s="8" t="s">
        <v>199</v>
      </c>
      <c r="E268" s="7"/>
      <c r="F268" s="8"/>
      <c r="G268" s="7" t="s">
        <v>368</v>
      </c>
      <c r="H268" s="9" t="n">
        <v>20</v>
      </c>
      <c r="I268" s="10" t="n">
        <v>34.01</v>
      </c>
      <c r="J268" s="11" t="n">
        <v>420746.912</v>
      </c>
      <c r="K268" s="11" t="n">
        <v>2045143.839</v>
      </c>
      <c r="L268" s="12" t="n">
        <v>18.4952467</v>
      </c>
      <c r="M268" s="12" t="n">
        <v>-69.7507473</v>
      </c>
      <c r="N268" s="7" t="n">
        <v>263</v>
      </c>
      <c r="O268" s="7" t="s">
        <v>40</v>
      </c>
      <c r="P268" s="8"/>
      <c r="Q268" s="13" t="s">
        <v>25</v>
      </c>
    </row>
    <row r="269" customFormat="false" ht="15" hidden="false" customHeight="false" outlineLevel="0" collapsed="false">
      <c r="A269" s="14" t="s">
        <v>398</v>
      </c>
      <c r="B269" s="14" t="s">
        <v>38</v>
      </c>
      <c r="C269" s="14" t="s">
        <v>6</v>
      </c>
      <c r="D269" s="15" t="s">
        <v>199</v>
      </c>
      <c r="E269" s="14"/>
      <c r="F269" s="15"/>
      <c r="G269" s="14" t="s">
        <v>368</v>
      </c>
      <c r="H269" s="16" t="n">
        <v>20.1</v>
      </c>
      <c r="I269" s="17" t="n">
        <v>33.896</v>
      </c>
      <c r="J269" s="18" t="n">
        <v>420747.108</v>
      </c>
      <c r="K269" s="18" t="n">
        <v>2045119.96</v>
      </c>
      <c r="L269" s="19" t="n">
        <v>18.4950309</v>
      </c>
      <c r="M269" s="19" t="n">
        <v>-69.7507445</v>
      </c>
      <c r="N269" s="14" t="n">
        <v>264</v>
      </c>
      <c r="O269" s="14" t="s">
        <v>40</v>
      </c>
      <c r="P269" s="15"/>
      <c r="Q269" s="20" t="s">
        <v>25</v>
      </c>
    </row>
    <row r="270" customFormat="false" ht="15" hidden="false" customHeight="false" outlineLevel="0" collapsed="false">
      <c r="A270" s="7" t="s">
        <v>399</v>
      </c>
      <c r="B270" s="7" t="s">
        <v>38</v>
      </c>
      <c r="C270" s="7" t="s">
        <v>6</v>
      </c>
      <c r="D270" s="8" t="s">
        <v>199</v>
      </c>
      <c r="E270" s="7"/>
      <c r="F270" s="8"/>
      <c r="G270" s="7" t="s">
        <v>368</v>
      </c>
      <c r="H270" s="9" t="n">
        <v>20.1</v>
      </c>
      <c r="I270" s="10" t="n">
        <v>33.802</v>
      </c>
      <c r="J270" s="11" t="n">
        <v>420747.305</v>
      </c>
      <c r="K270" s="11" t="n">
        <v>2045096.642</v>
      </c>
      <c r="L270" s="12" t="n">
        <v>18.4948201</v>
      </c>
      <c r="M270" s="12" t="n">
        <v>-69.7507417</v>
      </c>
      <c r="N270" s="7" t="n">
        <v>265</v>
      </c>
      <c r="O270" s="7" t="s">
        <v>40</v>
      </c>
      <c r="P270" s="8"/>
      <c r="Q270" s="13" t="s">
        <v>25</v>
      </c>
    </row>
    <row r="271" customFormat="false" ht="15" hidden="false" customHeight="false" outlineLevel="0" collapsed="false">
      <c r="A271" s="14" t="s">
        <v>400</v>
      </c>
      <c r="B271" s="14" t="s">
        <v>38</v>
      </c>
      <c r="C271" s="14" t="s">
        <v>6</v>
      </c>
      <c r="D271" s="15" t="s">
        <v>199</v>
      </c>
      <c r="E271" s="14"/>
      <c r="F271" s="15"/>
      <c r="G271" s="14" t="s">
        <v>368</v>
      </c>
      <c r="H271" s="16" t="n">
        <v>20</v>
      </c>
      <c r="I271" s="17" t="n">
        <v>33.686</v>
      </c>
      <c r="J271" s="18" t="n">
        <v>420747.571</v>
      </c>
      <c r="K271" s="18" t="n">
        <v>2045072.915</v>
      </c>
      <c r="L271" s="19" t="n">
        <v>18.4946057</v>
      </c>
      <c r="M271" s="19" t="n">
        <v>-69.7507382</v>
      </c>
      <c r="N271" s="14" t="n">
        <v>266</v>
      </c>
      <c r="O271" s="14" t="s">
        <v>40</v>
      </c>
      <c r="P271" s="15"/>
      <c r="Q271" s="20" t="s">
        <v>25</v>
      </c>
    </row>
    <row r="272" customFormat="false" ht="15" hidden="false" customHeight="false" outlineLevel="0" collapsed="false">
      <c r="A272" s="7" t="s">
        <v>401</v>
      </c>
      <c r="B272" s="7" t="s">
        <v>38</v>
      </c>
      <c r="C272" s="7" t="s">
        <v>6</v>
      </c>
      <c r="D272" s="8" t="s">
        <v>199</v>
      </c>
      <c r="E272" s="7"/>
      <c r="F272" s="8"/>
      <c r="G272" s="7" t="s">
        <v>368</v>
      </c>
      <c r="H272" s="9" t="n">
        <v>20</v>
      </c>
      <c r="I272" s="10" t="n">
        <v>33.591</v>
      </c>
      <c r="J272" s="11" t="n">
        <v>420747.757</v>
      </c>
      <c r="K272" s="11" t="n">
        <v>2045049.284</v>
      </c>
      <c r="L272" s="12" t="n">
        <v>18.4943922</v>
      </c>
      <c r="M272" s="12" t="n">
        <v>-69.7507356</v>
      </c>
      <c r="N272" s="7" t="n">
        <v>267</v>
      </c>
      <c r="O272" s="7" t="s">
        <v>40</v>
      </c>
      <c r="P272" s="8"/>
      <c r="Q272" s="13" t="s">
        <v>25</v>
      </c>
    </row>
    <row r="273" customFormat="false" ht="15" hidden="false" customHeight="false" outlineLevel="0" collapsed="false">
      <c r="A273" s="14" t="s">
        <v>402</v>
      </c>
      <c r="B273" s="14" t="s">
        <v>21</v>
      </c>
      <c r="C273" s="14" t="s">
        <v>6</v>
      </c>
      <c r="D273" s="15" t="s">
        <v>199</v>
      </c>
      <c r="E273" s="14"/>
      <c r="F273" s="15"/>
      <c r="G273" s="14" t="s">
        <v>368</v>
      </c>
      <c r="H273" s="16" t="n">
        <v>19.9</v>
      </c>
      <c r="I273" s="17" t="n">
        <v>33.627</v>
      </c>
      <c r="J273" s="18" t="n">
        <v>420748.176</v>
      </c>
      <c r="K273" s="18" t="n">
        <v>2045015.979</v>
      </c>
      <c r="L273" s="19" t="n">
        <v>18.4940912</v>
      </c>
      <c r="M273" s="19" t="n">
        <v>-69.7507303</v>
      </c>
      <c r="N273" s="14" t="n">
        <v>268</v>
      </c>
      <c r="O273" s="14" t="s">
        <v>24</v>
      </c>
      <c r="P273" s="15"/>
      <c r="Q273" s="20" t="s">
        <v>25</v>
      </c>
    </row>
    <row r="274" customFormat="false" ht="15" hidden="false" customHeight="false" outlineLevel="0" collapsed="false">
      <c r="A274" s="7" t="s">
        <v>403</v>
      </c>
      <c r="B274" s="7" t="s">
        <v>38</v>
      </c>
      <c r="C274" s="7" t="s">
        <v>6</v>
      </c>
      <c r="D274" s="8" t="s">
        <v>199</v>
      </c>
      <c r="E274" s="7"/>
      <c r="F274" s="8"/>
      <c r="G274" s="7" t="s">
        <v>364</v>
      </c>
      <c r="H274" s="9" t="n">
        <v>20</v>
      </c>
      <c r="I274" s="10" t="n">
        <v>33.695</v>
      </c>
      <c r="J274" s="11" t="n">
        <v>420748.548</v>
      </c>
      <c r="K274" s="11" t="n">
        <v>2044959.296</v>
      </c>
      <c r="L274" s="12" t="n">
        <v>18.4935789</v>
      </c>
      <c r="M274" s="12" t="n">
        <v>-69.7507245</v>
      </c>
      <c r="N274" s="7" t="n">
        <v>269</v>
      </c>
      <c r="O274" s="7" t="s">
        <v>40</v>
      </c>
      <c r="P274" s="8"/>
      <c r="Q274" s="13" t="s">
        <v>25</v>
      </c>
    </row>
    <row r="275" customFormat="false" ht="15" hidden="false" customHeight="false" outlineLevel="0" collapsed="false">
      <c r="A275" s="14" t="s">
        <v>404</v>
      </c>
      <c r="B275" s="14" t="s">
        <v>21</v>
      </c>
      <c r="C275" s="14" t="s">
        <v>6</v>
      </c>
      <c r="D275" s="15" t="s">
        <v>199</v>
      </c>
      <c r="E275" s="14"/>
      <c r="F275" s="15"/>
      <c r="G275" s="14" t="s">
        <v>197</v>
      </c>
      <c r="H275" s="16" t="n">
        <v>19.4</v>
      </c>
      <c r="I275" s="17" t="n">
        <v>33.447</v>
      </c>
      <c r="J275" s="18" t="n">
        <v>420748.971</v>
      </c>
      <c r="K275" s="18" t="n">
        <v>2044917.771</v>
      </c>
      <c r="L275" s="19" t="n">
        <v>18.4932037</v>
      </c>
      <c r="M275" s="19" t="n">
        <v>-69.7507189</v>
      </c>
      <c r="N275" s="14" t="n">
        <v>270</v>
      </c>
      <c r="O275" s="14" t="s">
        <v>24</v>
      </c>
      <c r="P275" s="15"/>
      <c r="Q275" s="20" t="s">
        <v>25</v>
      </c>
    </row>
    <row r="276" customFormat="false" ht="15" hidden="false" customHeight="false" outlineLevel="0" collapsed="false">
      <c r="A276" s="7" t="s">
        <v>405</v>
      </c>
      <c r="B276" s="7" t="s">
        <v>38</v>
      </c>
      <c r="C276" s="7" t="s">
        <v>6</v>
      </c>
      <c r="D276" s="8" t="s">
        <v>406</v>
      </c>
      <c r="E276" s="7"/>
      <c r="F276" s="8"/>
      <c r="G276" s="7" t="s">
        <v>368</v>
      </c>
      <c r="H276" s="9" t="n">
        <v>4.2</v>
      </c>
      <c r="I276" s="10" t="n">
        <v>34.648</v>
      </c>
      <c r="J276" s="11" t="n">
        <v>420814.09</v>
      </c>
      <c r="K276" s="11" t="n">
        <v>2045177.794</v>
      </c>
      <c r="L276" s="12" t="n">
        <v>18.4955561</v>
      </c>
      <c r="M276" s="12" t="n">
        <v>-69.7501123</v>
      </c>
      <c r="N276" s="7" t="n">
        <v>271</v>
      </c>
      <c r="O276" s="7" t="s">
        <v>40</v>
      </c>
      <c r="P276" s="8"/>
      <c r="Q276" s="13" t="s">
        <v>25</v>
      </c>
    </row>
    <row r="277" customFormat="false" ht="15" hidden="false" customHeight="false" outlineLevel="0" collapsed="false">
      <c r="A277" s="14" t="s">
        <v>407</v>
      </c>
      <c r="B277" s="14" t="s">
        <v>38</v>
      </c>
      <c r="C277" s="14" t="s">
        <v>6</v>
      </c>
      <c r="D277" s="15" t="s">
        <v>406</v>
      </c>
      <c r="E277" s="14"/>
      <c r="F277" s="15"/>
      <c r="G277" s="14" t="s">
        <v>368</v>
      </c>
      <c r="H277" s="16" t="n">
        <v>4</v>
      </c>
      <c r="I277" s="17" t="n">
        <v>34.162</v>
      </c>
      <c r="J277" s="18" t="n">
        <v>420841.192</v>
      </c>
      <c r="K277" s="18" t="n">
        <v>2045170.69</v>
      </c>
      <c r="L277" s="19" t="n">
        <v>18.4954929</v>
      </c>
      <c r="M277" s="19" t="n">
        <v>-69.7498553</v>
      </c>
      <c r="N277" s="14" t="n">
        <v>272</v>
      </c>
      <c r="O277" s="14" t="s">
        <v>40</v>
      </c>
      <c r="P277" s="15"/>
      <c r="Q277" s="20" t="s">
        <v>25</v>
      </c>
    </row>
    <row r="278" customFormat="false" ht="15" hidden="false" customHeight="false" outlineLevel="0" collapsed="false">
      <c r="A278" s="7" t="s">
        <v>408</v>
      </c>
      <c r="B278" s="7" t="s">
        <v>38</v>
      </c>
      <c r="C278" s="7" t="s">
        <v>6</v>
      </c>
      <c r="D278" s="8" t="s">
        <v>406</v>
      </c>
      <c r="E278" s="7"/>
      <c r="F278" s="8"/>
      <c r="G278" s="7" t="s">
        <v>368</v>
      </c>
      <c r="H278" s="9" t="n">
        <v>4.1</v>
      </c>
      <c r="I278" s="10" t="n">
        <v>33.933</v>
      </c>
      <c r="J278" s="11" t="n">
        <v>420879.254</v>
      </c>
      <c r="K278" s="11" t="n">
        <v>2045161.112</v>
      </c>
      <c r="L278" s="12" t="n">
        <v>18.4954077</v>
      </c>
      <c r="M278" s="12" t="n">
        <v>-69.7494944</v>
      </c>
      <c r="N278" s="7" t="n">
        <v>273</v>
      </c>
      <c r="O278" s="7" t="s">
        <v>40</v>
      </c>
      <c r="P278" s="8"/>
      <c r="Q278" s="13" t="s">
        <v>25</v>
      </c>
    </row>
    <row r="279" customFormat="false" ht="15" hidden="false" customHeight="false" outlineLevel="0" collapsed="false">
      <c r="A279" s="14" t="s">
        <v>409</v>
      </c>
      <c r="B279" s="14" t="s">
        <v>38</v>
      </c>
      <c r="C279" s="14" t="s">
        <v>6</v>
      </c>
      <c r="D279" s="15" t="s">
        <v>406</v>
      </c>
      <c r="E279" s="14"/>
      <c r="F279" s="15"/>
      <c r="G279" s="14" t="s">
        <v>368</v>
      </c>
      <c r="H279" s="16" t="n">
        <v>4.1</v>
      </c>
      <c r="I279" s="17" t="n">
        <v>33.797</v>
      </c>
      <c r="J279" s="18" t="n">
        <v>420907.311</v>
      </c>
      <c r="K279" s="18" t="n">
        <v>2045154.057</v>
      </c>
      <c r="L279" s="19" t="n">
        <v>18.495345</v>
      </c>
      <c r="M279" s="19" t="n">
        <v>-69.7492284</v>
      </c>
      <c r="N279" s="14" t="n">
        <v>274</v>
      </c>
      <c r="O279" s="14" t="s">
        <v>40</v>
      </c>
      <c r="P279" s="15"/>
      <c r="Q279" s="20" t="s">
        <v>25</v>
      </c>
    </row>
    <row r="280" customFormat="false" ht="15" hidden="false" customHeight="false" outlineLevel="0" collapsed="false">
      <c r="A280" s="7" t="s">
        <v>410</v>
      </c>
      <c r="B280" s="7" t="s">
        <v>38</v>
      </c>
      <c r="C280" s="7" t="s">
        <v>6</v>
      </c>
      <c r="D280" s="8" t="s">
        <v>406</v>
      </c>
      <c r="E280" s="7"/>
      <c r="F280" s="8"/>
      <c r="G280" s="7" t="s">
        <v>368</v>
      </c>
      <c r="H280" s="9" t="n">
        <v>3.8</v>
      </c>
      <c r="I280" s="10" t="n">
        <v>33.687</v>
      </c>
      <c r="J280" s="11" t="n">
        <v>420923.904</v>
      </c>
      <c r="K280" s="11" t="n">
        <v>2045149.179</v>
      </c>
      <c r="L280" s="12" t="n">
        <v>18.4953016</v>
      </c>
      <c r="M280" s="12" t="n">
        <v>-69.749071</v>
      </c>
      <c r="N280" s="7" t="n">
        <v>275</v>
      </c>
      <c r="O280" s="7" t="s">
        <v>40</v>
      </c>
      <c r="P280" s="8"/>
      <c r="Q280" s="13" t="s">
        <v>25</v>
      </c>
    </row>
    <row r="281" customFormat="false" ht="15" hidden="false" customHeight="false" outlineLevel="0" collapsed="false">
      <c r="A281" s="14" t="s">
        <v>411</v>
      </c>
      <c r="B281" s="14" t="s">
        <v>38</v>
      </c>
      <c r="C281" s="14" t="s">
        <v>6</v>
      </c>
      <c r="D281" s="15" t="s">
        <v>406</v>
      </c>
      <c r="E281" s="14"/>
      <c r="F281" s="15"/>
      <c r="G281" s="14" t="s">
        <v>368</v>
      </c>
      <c r="H281" s="16" t="n">
        <v>3.7</v>
      </c>
      <c r="I281" s="17" t="n">
        <v>33.477</v>
      </c>
      <c r="J281" s="18" t="n">
        <v>420950.501</v>
      </c>
      <c r="K281" s="18" t="n">
        <v>2045136.141</v>
      </c>
      <c r="L281" s="19" t="n">
        <v>18.4951847</v>
      </c>
      <c r="M281" s="19" t="n">
        <v>-69.7488185</v>
      </c>
      <c r="N281" s="14" t="n">
        <v>276</v>
      </c>
      <c r="O281" s="14" t="s">
        <v>40</v>
      </c>
      <c r="P281" s="15"/>
      <c r="Q281" s="20" t="s">
        <v>25</v>
      </c>
    </row>
    <row r="282" customFormat="false" ht="15" hidden="false" customHeight="false" outlineLevel="0" collapsed="false">
      <c r="A282" s="7" t="s">
        <v>412</v>
      </c>
      <c r="B282" s="7" t="s">
        <v>38</v>
      </c>
      <c r="C282" s="7" t="s">
        <v>6</v>
      </c>
      <c r="D282" s="8" t="s">
        <v>406</v>
      </c>
      <c r="E282" s="7"/>
      <c r="F282" s="8"/>
      <c r="G282" s="7" t="s">
        <v>368</v>
      </c>
      <c r="H282" s="9" t="n">
        <v>3.7</v>
      </c>
      <c r="I282" s="10" t="n">
        <v>33.385</v>
      </c>
      <c r="J282" s="11" t="n">
        <v>420975.601</v>
      </c>
      <c r="K282" s="11" t="n">
        <v>2045123.852</v>
      </c>
      <c r="L282" s="12" t="n">
        <v>18.4950746</v>
      </c>
      <c r="M282" s="12" t="n">
        <v>-69.7485803</v>
      </c>
      <c r="N282" s="7" t="n">
        <v>277</v>
      </c>
      <c r="O282" s="7" t="s">
        <v>40</v>
      </c>
      <c r="P282" s="8"/>
      <c r="Q282" s="13" t="s">
        <v>25</v>
      </c>
    </row>
    <row r="283" customFormat="false" ht="15" hidden="false" customHeight="false" outlineLevel="0" collapsed="false">
      <c r="A283" s="14" t="s">
        <v>413</v>
      </c>
      <c r="B283" s="14" t="s">
        <v>38</v>
      </c>
      <c r="C283" s="14" t="s">
        <v>6</v>
      </c>
      <c r="D283" s="15" t="s">
        <v>406</v>
      </c>
      <c r="E283" s="14"/>
      <c r="F283" s="15"/>
      <c r="G283" s="14" t="s">
        <v>414</v>
      </c>
      <c r="H283" s="16" t="n">
        <v>3.8</v>
      </c>
      <c r="I283" s="17" t="n">
        <v>33.3</v>
      </c>
      <c r="J283" s="18" t="n">
        <v>421002.77</v>
      </c>
      <c r="K283" s="18" t="n">
        <v>2045110.59</v>
      </c>
      <c r="L283" s="19" t="n">
        <v>18.4949558</v>
      </c>
      <c r="M283" s="19" t="n">
        <v>-69.7483224</v>
      </c>
      <c r="N283" s="14" t="n">
        <v>278</v>
      </c>
      <c r="O283" s="14" t="s">
        <v>40</v>
      </c>
      <c r="P283" s="15"/>
      <c r="Q283" s="20" t="s">
        <v>25</v>
      </c>
    </row>
    <row r="284" customFormat="false" ht="15" hidden="false" customHeight="false" outlineLevel="0" collapsed="false">
      <c r="A284" s="7" t="s">
        <v>415</v>
      </c>
      <c r="B284" s="7" t="s">
        <v>38</v>
      </c>
      <c r="C284" s="7" t="s">
        <v>6</v>
      </c>
      <c r="D284" s="8" t="s">
        <v>406</v>
      </c>
      <c r="E284" s="7"/>
      <c r="F284" s="8"/>
      <c r="G284" s="7" t="s">
        <v>416</v>
      </c>
      <c r="H284" s="9" t="n">
        <v>3.8</v>
      </c>
      <c r="I284" s="10" t="n">
        <v>32.827</v>
      </c>
      <c r="J284" s="11" t="n">
        <v>421043.568</v>
      </c>
      <c r="K284" s="11" t="n">
        <v>2045090.71</v>
      </c>
      <c r="L284" s="12" t="n">
        <v>18.4947776</v>
      </c>
      <c r="M284" s="12" t="n">
        <v>-69.7479352</v>
      </c>
      <c r="N284" s="7" t="n">
        <v>279</v>
      </c>
      <c r="O284" s="7" t="s">
        <v>40</v>
      </c>
      <c r="P284" s="8"/>
      <c r="Q284" s="13" t="s">
        <v>25</v>
      </c>
    </row>
    <row r="285" customFormat="false" ht="15" hidden="false" customHeight="false" outlineLevel="0" collapsed="false">
      <c r="A285" s="14" t="s">
        <v>417</v>
      </c>
      <c r="B285" s="14" t="s">
        <v>38</v>
      </c>
      <c r="C285" s="14" t="s">
        <v>6</v>
      </c>
      <c r="D285" s="15" t="s">
        <v>265</v>
      </c>
      <c r="E285" s="14"/>
      <c r="F285" s="15"/>
      <c r="G285" s="14" t="s">
        <v>273</v>
      </c>
      <c r="H285" s="16" t="n">
        <v>23</v>
      </c>
      <c r="I285" s="17" t="n">
        <v>32.579</v>
      </c>
      <c r="J285" s="18" t="n">
        <v>421162.971</v>
      </c>
      <c r="K285" s="18" t="n">
        <v>2045023.573</v>
      </c>
      <c r="L285" s="19" t="n">
        <v>18.4941754</v>
      </c>
      <c r="M285" s="19" t="n">
        <v>-69.7468016</v>
      </c>
      <c r="N285" s="14" t="n">
        <v>280</v>
      </c>
      <c r="O285" s="14" t="s">
        <v>40</v>
      </c>
      <c r="P285" s="15"/>
      <c r="Q285" s="20" t="s">
        <v>25</v>
      </c>
    </row>
    <row r="286" customFormat="false" ht="15" hidden="false" customHeight="false" outlineLevel="0" collapsed="false">
      <c r="A286" s="7" t="s">
        <v>418</v>
      </c>
      <c r="B286" s="7" t="s">
        <v>38</v>
      </c>
      <c r="C286" s="7" t="s">
        <v>6</v>
      </c>
      <c r="D286" s="8" t="s">
        <v>265</v>
      </c>
      <c r="E286" s="7"/>
      <c r="F286" s="8"/>
      <c r="G286" s="7" t="s">
        <v>419</v>
      </c>
      <c r="H286" s="9" t="n">
        <v>22.5</v>
      </c>
      <c r="I286" s="10" t="n">
        <v>32.786</v>
      </c>
      <c r="J286" s="11" t="n">
        <v>421179.57</v>
      </c>
      <c r="K286" s="11" t="n">
        <v>2045053.642</v>
      </c>
      <c r="L286" s="12" t="n">
        <v>18.4944477</v>
      </c>
      <c r="M286" s="12" t="n">
        <v>-69.7466455</v>
      </c>
      <c r="N286" s="7" t="n">
        <v>281</v>
      </c>
      <c r="O286" s="7" t="s">
        <v>40</v>
      </c>
      <c r="P286" s="8"/>
      <c r="Q286" s="13" t="s">
        <v>25</v>
      </c>
    </row>
    <row r="287" customFormat="false" ht="15" hidden="false" customHeight="false" outlineLevel="0" collapsed="false">
      <c r="A287" s="14" t="s">
        <v>420</v>
      </c>
      <c r="B287" s="14" t="s">
        <v>21</v>
      </c>
      <c r="C287" s="14" t="s">
        <v>6</v>
      </c>
      <c r="D287" s="15" t="s">
        <v>406</v>
      </c>
      <c r="E287" s="14"/>
      <c r="F287" s="15"/>
      <c r="G287" s="14" t="s">
        <v>372</v>
      </c>
      <c r="H287" s="16" t="n">
        <v>5.2</v>
      </c>
      <c r="I287" s="17" t="n">
        <v>32.719</v>
      </c>
      <c r="J287" s="18" t="n">
        <v>421050.148</v>
      </c>
      <c r="K287" s="18" t="n">
        <v>2045105.223</v>
      </c>
      <c r="L287" s="19" t="n">
        <v>18.4949091</v>
      </c>
      <c r="M287" s="19" t="n">
        <v>-69.7478735</v>
      </c>
      <c r="N287" s="14" t="n">
        <v>282</v>
      </c>
      <c r="O287" s="14" t="s">
        <v>24</v>
      </c>
      <c r="P287" s="15"/>
      <c r="Q287" s="20" t="s">
        <v>25</v>
      </c>
    </row>
    <row r="288" customFormat="false" ht="15" hidden="false" customHeight="false" outlineLevel="0" collapsed="false">
      <c r="A288" s="7" t="s">
        <v>421</v>
      </c>
      <c r="B288" s="7" t="s">
        <v>38</v>
      </c>
      <c r="C288" s="7" t="s">
        <v>6</v>
      </c>
      <c r="D288" s="8" t="s">
        <v>406</v>
      </c>
      <c r="E288" s="7"/>
      <c r="F288" s="8"/>
      <c r="G288" s="7" t="s">
        <v>372</v>
      </c>
      <c r="H288" s="9" t="n">
        <v>5.2</v>
      </c>
      <c r="I288" s="10" t="n">
        <v>33.24</v>
      </c>
      <c r="J288" s="11" t="n">
        <v>421009.767</v>
      </c>
      <c r="K288" s="11" t="n">
        <v>2045124.972</v>
      </c>
      <c r="L288" s="12" t="n">
        <v>18.495086</v>
      </c>
      <c r="M288" s="12" t="n">
        <v>-69.7482567</v>
      </c>
      <c r="N288" s="7" t="n">
        <v>283</v>
      </c>
      <c r="O288" s="7" t="s">
        <v>40</v>
      </c>
      <c r="P288" s="8"/>
      <c r="Q288" s="13" t="s">
        <v>25</v>
      </c>
    </row>
    <row r="289" customFormat="false" ht="15" hidden="false" customHeight="false" outlineLevel="0" collapsed="false">
      <c r="A289" s="14" t="s">
        <v>422</v>
      </c>
      <c r="B289" s="14" t="s">
        <v>38</v>
      </c>
      <c r="C289" s="14" t="s">
        <v>6</v>
      </c>
      <c r="D289" s="15" t="s">
        <v>406</v>
      </c>
      <c r="E289" s="14"/>
      <c r="F289" s="15"/>
      <c r="G289" s="14" t="s">
        <v>372</v>
      </c>
      <c r="H289" s="16" t="n">
        <v>5.4</v>
      </c>
      <c r="I289" s="17" t="n">
        <v>33.72</v>
      </c>
      <c r="J289" s="18" t="n">
        <v>420983.213</v>
      </c>
      <c r="K289" s="18" t="n">
        <v>2045137.72</v>
      </c>
      <c r="L289" s="19" t="n">
        <v>18.4952002</v>
      </c>
      <c r="M289" s="19" t="n">
        <v>-69.7485088</v>
      </c>
      <c r="N289" s="14" t="n">
        <v>284</v>
      </c>
      <c r="O289" s="14" t="s">
        <v>40</v>
      </c>
      <c r="P289" s="15"/>
      <c r="Q289" s="20" t="s">
        <v>25</v>
      </c>
    </row>
    <row r="290" customFormat="false" ht="15" hidden="false" customHeight="false" outlineLevel="0" collapsed="false">
      <c r="A290" s="7" t="s">
        <v>423</v>
      </c>
      <c r="B290" s="7" t="s">
        <v>38</v>
      </c>
      <c r="C290" s="7" t="s">
        <v>6</v>
      </c>
      <c r="D290" s="8" t="s">
        <v>406</v>
      </c>
      <c r="E290" s="7"/>
      <c r="F290" s="8"/>
      <c r="G290" s="7" t="s">
        <v>372</v>
      </c>
      <c r="H290" s="9" t="n">
        <v>5.2</v>
      </c>
      <c r="I290" s="10" t="n">
        <v>33.437</v>
      </c>
      <c r="J290" s="11" t="n">
        <v>420957.808</v>
      </c>
      <c r="K290" s="11" t="n">
        <v>2045150.34</v>
      </c>
      <c r="L290" s="12" t="n">
        <v>18.4953133</v>
      </c>
      <c r="M290" s="12" t="n">
        <v>-69.7487499</v>
      </c>
      <c r="N290" s="7" t="n">
        <v>285</v>
      </c>
      <c r="O290" s="7" t="s">
        <v>40</v>
      </c>
      <c r="P290" s="8"/>
      <c r="Q290" s="13" t="s">
        <v>25</v>
      </c>
    </row>
    <row r="291" customFormat="false" ht="15" hidden="false" customHeight="false" outlineLevel="0" collapsed="false">
      <c r="A291" s="14" t="s">
        <v>424</v>
      </c>
      <c r="B291" s="14" t="s">
        <v>38</v>
      </c>
      <c r="C291" s="14" t="s">
        <v>6</v>
      </c>
      <c r="D291" s="15" t="s">
        <v>406</v>
      </c>
      <c r="E291" s="14"/>
      <c r="F291" s="15"/>
      <c r="G291" s="14" t="s">
        <v>372</v>
      </c>
      <c r="H291" s="16" t="n">
        <v>5.3</v>
      </c>
      <c r="I291" s="17" t="n">
        <v>33.674</v>
      </c>
      <c r="J291" s="18" t="n">
        <v>420930.721</v>
      </c>
      <c r="K291" s="18" t="n">
        <v>2045163.481</v>
      </c>
      <c r="L291" s="19" t="n">
        <v>18.4954311</v>
      </c>
      <c r="M291" s="19" t="n">
        <v>-69.749007</v>
      </c>
      <c r="N291" s="14" t="n">
        <v>286</v>
      </c>
      <c r="O291" s="14" t="s">
        <v>40</v>
      </c>
      <c r="P291" s="15"/>
      <c r="Q291" s="20" t="s">
        <v>25</v>
      </c>
    </row>
    <row r="292" customFormat="false" ht="15" hidden="false" customHeight="false" outlineLevel="0" collapsed="false">
      <c r="A292" s="7" t="s">
        <v>425</v>
      </c>
      <c r="B292" s="7" t="s">
        <v>38</v>
      </c>
      <c r="C292" s="7" t="s">
        <v>6</v>
      </c>
      <c r="D292" s="8" t="s">
        <v>406</v>
      </c>
      <c r="E292" s="7"/>
      <c r="F292" s="8"/>
      <c r="G292" s="7" t="s">
        <v>372</v>
      </c>
      <c r="H292" s="9" t="n">
        <v>5.2</v>
      </c>
      <c r="I292" s="10" t="n">
        <v>33.889</v>
      </c>
      <c r="J292" s="11" t="n">
        <v>420911.096</v>
      </c>
      <c r="K292" s="11" t="n">
        <v>2045169.383</v>
      </c>
      <c r="L292" s="12" t="n">
        <v>18.4954837</v>
      </c>
      <c r="M292" s="12" t="n">
        <v>-69.7491931</v>
      </c>
      <c r="N292" s="7" t="n">
        <v>287</v>
      </c>
      <c r="O292" s="7" t="s">
        <v>40</v>
      </c>
      <c r="P292" s="8"/>
      <c r="Q292" s="13" t="s">
        <v>25</v>
      </c>
    </row>
    <row r="293" customFormat="false" ht="15" hidden="false" customHeight="false" outlineLevel="0" collapsed="false">
      <c r="A293" s="14" t="s">
        <v>426</v>
      </c>
      <c r="B293" s="14" t="s">
        <v>38</v>
      </c>
      <c r="C293" s="14" t="s">
        <v>6</v>
      </c>
      <c r="D293" s="15" t="s">
        <v>406</v>
      </c>
      <c r="E293" s="14"/>
      <c r="F293" s="15"/>
      <c r="G293" s="14" t="s">
        <v>372</v>
      </c>
      <c r="H293" s="16" t="n">
        <v>5.1</v>
      </c>
      <c r="I293" s="17" t="n">
        <v>33.971</v>
      </c>
      <c r="J293" s="18" t="n">
        <v>420883.351</v>
      </c>
      <c r="K293" s="18" t="n">
        <v>2045176.451</v>
      </c>
      <c r="L293" s="19" t="n">
        <v>18.4955465</v>
      </c>
      <c r="M293" s="19" t="n">
        <v>-69.7494562</v>
      </c>
      <c r="N293" s="14" t="n">
        <v>288</v>
      </c>
      <c r="O293" s="14" t="s">
        <v>40</v>
      </c>
      <c r="P293" s="15"/>
      <c r="Q293" s="20" t="s">
        <v>25</v>
      </c>
    </row>
    <row r="294" customFormat="false" ht="15" hidden="false" customHeight="false" outlineLevel="0" collapsed="false">
      <c r="A294" s="7" t="s">
        <v>427</v>
      </c>
      <c r="B294" s="7" t="s">
        <v>38</v>
      </c>
      <c r="C294" s="7" t="s">
        <v>6</v>
      </c>
      <c r="D294" s="8" t="s">
        <v>406</v>
      </c>
      <c r="E294" s="7"/>
      <c r="F294" s="8"/>
      <c r="G294" s="7" t="s">
        <v>372</v>
      </c>
      <c r="H294" s="9" t="n">
        <v>5</v>
      </c>
      <c r="I294" s="10" t="n">
        <v>34.032</v>
      </c>
      <c r="J294" s="11" t="n">
        <v>420845.377</v>
      </c>
      <c r="K294" s="11" t="n">
        <v>2045186.064</v>
      </c>
      <c r="L294" s="12" t="n">
        <v>18.495632</v>
      </c>
      <c r="M294" s="12" t="n">
        <v>-69.7498163</v>
      </c>
      <c r="N294" s="7" t="n">
        <v>289</v>
      </c>
      <c r="O294" s="7" t="s">
        <v>40</v>
      </c>
      <c r="P294" s="8"/>
      <c r="Q294" s="13" t="s">
        <v>25</v>
      </c>
    </row>
    <row r="295" customFormat="false" ht="15" hidden="false" customHeight="false" outlineLevel="0" collapsed="false">
      <c r="A295" s="14" t="s">
        <v>428</v>
      </c>
      <c r="B295" s="14" t="s">
        <v>38</v>
      </c>
      <c r="C295" s="14" t="s">
        <v>6</v>
      </c>
      <c r="D295" s="15" t="s">
        <v>406</v>
      </c>
      <c r="E295" s="14"/>
      <c r="F295" s="15"/>
      <c r="G295" s="14" t="s">
        <v>372</v>
      </c>
      <c r="H295" s="16" t="n">
        <v>5</v>
      </c>
      <c r="I295" s="17" t="n">
        <v>34.198</v>
      </c>
      <c r="J295" s="18" t="n">
        <v>420818.768</v>
      </c>
      <c r="K295" s="18" t="n">
        <v>2045192.764</v>
      </c>
      <c r="L295" s="19" t="n">
        <v>18.4956915</v>
      </c>
      <c r="M295" s="19" t="n">
        <v>-69.7500686</v>
      </c>
      <c r="N295" s="14" t="n">
        <v>290</v>
      </c>
      <c r="O295" s="14" t="s">
        <v>40</v>
      </c>
      <c r="P295" s="15"/>
      <c r="Q295" s="20" t="s">
        <v>25</v>
      </c>
    </row>
    <row r="296" customFormat="false" ht="15" hidden="false" customHeight="false" outlineLevel="0" collapsed="false">
      <c r="A296" s="7" t="s">
        <v>429</v>
      </c>
      <c r="B296" s="7" t="s">
        <v>38</v>
      </c>
      <c r="C296" s="7" t="s">
        <v>6</v>
      </c>
      <c r="D296" s="8" t="s">
        <v>430</v>
      </c>
      <c r="E296" s="7"/>
      <c r="F296" s="8"/>
      <c r="G296" s="7" t="s">
        <v>372</v>
      </c>
      <c r="H296" s="9" t="n">
        <v>3.5</v>
      </c>
      <c r="I296" s="10" t="n">
        <v>30.838</v>
      </c>
      <c r="J296" s="11" t="n">
        <v>420775.944</v>
      </c>
      <c r="K296" s="11" t="n">
        <v>2045435.617</v>
      </c>
      <c r="L296" s="12" t="n">
        <v>18.4978847</v>
      </c>
      <c r="M296" s="12" t="n">
        <v>-69.7504838</v>
      </c>
      <c r="N296" s="7" t="n">
        <v>291</v>
      </c>
      <c r="O296" s="7" t="s">
        <v>40</v>
      </c>
      <c r="P296" s="8"/>
      <c r="Q296" s="13" t="s">
        <v>25</v>
      </c>
    </row>
    <row r="297" customFormat="false" ht="15" hidden="false" customHeight="false" outlineLevel="0" collapsed="false">
      <c r="A297" s="14" t="s">
        <v>431</v>
      </c>
      <c r="B297" s="14" t="s">
        <v>38</v>
      </c>
      <c r="C297" s="14" t="s">
        <v>6</v>
      </c>
      <c r="D297" s="15" t="s">
        <v>430</v>
      </c>
      <c r="E297" s="14"/>
      <c r="F297" s="15"/>
      <c r="G297" s="14" t="s">
        <v>388</v>
      </c>
      <c r="H297" s="16" t="n">
        <v>3.7</v>
      </c>
      <c r="I297" s="17" t="n">
        <v>30.783</v>
      </c>
      <c r="J297" s="18" t="n">
        <v>420774.435</v>
      </c>
      <c r="K297" s="18" t="n">
        <v>2045444.586</v>
      </c>
      <c r="L297" s="19" t="n">
        <v>18.4979657</v>
      </c>
      <c r="M297" s="19" t="n">
        <v>-69.7504984</v>
      </c>
      <c r="N297" s="14" t="n">
        <v>292</v>
      </c>
      <c r="O297" s="14" t="s">
        <v>40</v>
      </c>
      <c r="P297" s="15"/>
      <c r="Q297" s="20" t="s">
        <v>25</v>
      </c>
    </row>
    <row r="298" customFormat="false" ht="15" hidden="false" customHeight="false" outlineLevel="0" collapsed="false">
      <c r="A298" s="7" t="s">
        <v>432</v>
      </c>
      <c r="B298" s="7" t="s">
        <v>21</v>
      </c>
      <c r="C298" s="7" t="s">
        <v>6</v>
      </c>
      <c r="D298" s="8" t="s">
        <v>430</v>
      </c>
      <c r="E298" s="7"/>
      <c r="F298" s="8"/>
      <c r="G298" s="7" t="s">
        <v>372</v>
      </c>
      <c r="H298" s="9" t="n">
        <v>2.7</v>
      </c>
      <c r="I298" s="10" t="n">
        <v>31.298</v>
      </c>
      <c r="J298" s="11" t="n">
        <v>420963.23</v>
      </c>
      <c r="K298" s="11" t="n">
        <v>2045367.053</v>
      </c>
      <c r="L298" s="12" t="n">
        <v>18.4972721</v>
      </c>
      <c r="M298" s="12" t="n">
        <v>-69.748707</v>
      </c>
      <c r="N298" s="7" t="n">
        <v>293</v>
      </c>
      <c r="O298" s="7" t="s">
        <v>24</v>
      </c>
      <c r="P298" s="8"/>
      <c r="Q298" s="13" t="s">
        <v>25</v>
      </c>
    </row>
    <row r="299" customFormat="false" ht="15" hidden="false" customHeight="false" outlineLevel="0" collapsed="false">
      <c r="A299" s="14" t="s">
        <v>433</v>
      </c>
      <c r="B299" s="14" t="s">
        <v>21</v>
      </c>
      <c r="C299" s="14" t="s">
        <v>6</v>
      </c>
      <c r="D299" s="15" t="s">
        <v>430</v>
      </c>
      <c r="E299" s="14"/>
      <c r="F299" s="15"/>
      <c r="G299" s="14" t="s">
        <v>434</v>
      </c>
      <c r="H299" s="16" t="n">
        <v>4</v>
      </c>
      <c r="I299" s="17" t="n">
        <v>30.956</v>
      </c>
      <c r="J299" s="18" t="n">
        <v>420967.709</v>
      </c>
      <c r="K299" s="18" t="n">
        <v>2045375.482</v>
      </c>
      <c r="L299" s="19" t="n">
        <v>18.4973484</v>
      </c>
      <c r="M299" s="19" t="n">
        <v>-69.7486649</v>
      </c>
      <c r="N299" s="14" t="n">
        <v>294</v>
      </c>
      <c r="O299" s="14" t="s">
        <v>24</v>
      </c>
      <c r="P299" s="15"/>
      <c r="Q299" s="20" t="s">
        <v>25</v>
      </c>
    </row>
    <row r="300" customFormat="false" ht="15" hidden="false" customHeight="false" outlineLevel="0" collapsed="false">
      <c r="A300" s="7" t="s">
        <v>435</v>
      </c>
      <c r="B300" s="7" t="s">
        <v>38</v>
      </c>
      <c r="C300" s="7" t="s">
        <v>6</v>
      </c>
      <c r="D300" s="8" t="s">
        <v>430</v>
      </c>
      <c r="E300" s="7"/>
      <c r="F300" s="8"/>
      <c r="G300" s="7" t="s">
        <v>372</v>
      </c>
      <c r="H300" s="9" t="n">
        <v>2.5</v>
      </c>
      <c r="I300" s="10" t="n">
        <v>31.814</v>
      </c>
      <c r="J300" s="11" t="n">
        <v>421029.69</v>
      </c>
      <c r="K300" s="11" t="n">
        <v>2045333.758</v>
      </c>
      <c r="L300" s="12" t="n">
        <v>18.4969736</v>
      </c>
      <c r="M300" s="12" t="n">
        <v>-69.7480762</v>
      </c>
      <c r="N300" s="7" t="n">
        <v>295</v>
      </c>
      <c r="O300" s="7" t="s">
        <v>40</v>
      </c>
      <c r="P300" s="8"/>
      <c r="Q300" s="13" t="s">
        <v>25</v>
      </c>
    </row>
    <row r="301" customFormat="false" ht="15" hidden="false" customHeight="false" outlineLevel="0" collapsed="false">
      <c r="A301" s="14" t="s">
        <v>436</v>
      </c>
      <c r="B301" s="14" t="s">
        <v>38</v>
      </c>
      <c r="C301" s="14" t="s">
        <v>6</v>
      </c>
      <c r="D301" s="15" t="s">
        <v>430</v>
      </c>
      <c r="E301" s="14"/>
      <c r="F301" s="15"/>
      <c r="G301" s="14" t="s">
        <v>434</v>
      </c>
      <c r="H301" s="16" t="n">
        <v>3.8</v>
      </c>
      <c r="I301" s="17" t="n">
        <v>31.748</v>
      </c>
      <c r="J301" s="18" t="n">
        <v>421034.289</v>
      </c>
      <c r="K301" s="18" t="n">
        <v>2045342.483</v>
      </c>
      <c r="L301" s="19" t="n">
        <v>18.4970527</v>
      </c>
      <c r="M301" s="19" t="n">
        <v>-69.748033</v>
      </c>
      <c r="N301" s="14" t="n">
        <v>296</v>
      </c>
      <c r="O301" s="14" t="s">
        <v>40</v>
      </c>
      <c r="P301" s="15"/>
      <c r="Q301" s="20" t="s">
        <v>25</v>
      </c>
    </row>
    <row r="302" customFormat="false" ht="15" hidden="false" customHeight="false" outlineLevel="0" collapsed="false">
      <c r="A302" s="7" t="s">
        <v>437</v>
      </c>
      <c r="B302" s="7" t="s">
        <v>21</v>
      </c>
      <c r="C302" s="7" t="s">
        <v>6</v>
      </c>
      <c r="D302" s="8" t="s">
        <v>430</v>
      </c>
      <c r="E302" s="7"/>
      <c r="F302" s="8"/>
      <c r="G302" s="7" t="s">
        <v>438</v>
      </c>
      <c r="H302" s="9" t="n">
        <v>2.5</v>
      </c>
      <c r="I302" s="10" t="n">
        <v>32.054</v>
      </c>
      <c r="J302" s="11" t="n">
        <v>421182.507</v>
      </c>
      <c r="K302" s="11" t="n">
        <v>2045257.614</v>
      </c>
      <c r="L302" s="12" t="n">
        <v>18.4962912</v>
      </c>
      <c r="M302" s="12" t="n">
        <v>-69.7466257</v>
      </c>
      <c r="N302" s="7" t="n">
        <v>297</v>
      </c>
      <c r="O302" s="7" t="s">
        <v>24</v>
      </c>
      <c r="P302" s="8"/>
      <c r="Q302" s="13" t="s">
        <v>25</v>
      </c>
    </row>
    <row r="303" customFormat="false" ht="15" hidden="false" customHeight="false" outlineLevel="0" collapsed="false">
      <c r="A303" s="14" t="s">
        <v>439</v>
      </c>
      <c r="B303" s="14" t="s">
        <v>21</v>
      </c>
      <c r="C303" s="14" t="s">
        <v>6</v>
      </c>
      <c r="D303" s="15" t="s">
        <v>430</v>
      </c>
      <c r="E303" s="14"/>
      <c r="F303" s="15"/>
      <c r="G303" s="14" t="s">
        <v>440</v>
      </c>
      <c r="H303" s="16" t="n">
        <v>2.3</v>
      </c>
      <c r="I303" s="17" t="n">
        <v>31.937</v>
      </c>
      <c r="J303" s="18" t="n">
        <v>421186.081</v>
      </c>
      <c r="K303" s="18" t="n">
        <v>2045266.806</v>
      </c>
      <c r="L303" s="19" t="n">
        <v>18.4963744</v>
      </c>
      <c r="M303" s="19" t="n">
        <v>-69.7465922</v>
      </c>
      <c r="N303" s="14" t="n">
        <v>298</v>
      </c>
      <c r="O303" s="14" t="s">
        <v>24</v>
      </c>
      <c r="P303" s="15"/>
      <c r="Q303" s="20" t="s">
        <v>25</v>
      </c>
    </row>
    <row r="304" customFormat="false" ht="15" hidden="false" customHeight="false" outlineLevel="0" collapsed="false">
      <c r="A304" s="7" t="s">
        <v>441</v>
      </c>
      <c r="B304" s="7" t="s">
        <v>38</v>
      </c>
      <c r="C304" s="7" t="s">
        <v>6</v>
      </c>
      <c r="D304" s="8" t="s">
        <v>265</v>
      </c>
      <c r="E304" s="7"/>
      <c r="F304" s="8"/>
      <c r="G304" s="7" t="s">
        <v>442</v>
      </c>
      <c r="H304" s="9" t="n">
        <v>4.3</v>
      </c>
      <c r="I304" s="10" t="n">
        <v>32.483</v>
      </c>
      <c r="J304" s="11" t="n">
        <v>421242.717</v>
      </c>
      <c r="K304" s="11" t="n">
        <v>2045212.751</v>
      </c>
      <c r="L304" s="12" t="n">
        <v>18.495888</v>
      </c>
      <c r="M304" s="12" t="n">
        <v>-69.7460536</v>
      </c>
      <c r="N304" s="7" t="n">
        <v>299</v>
      </c>
      <c r="O304" s="7" t="s">
        <v>40</v>
      </c>
      <c r="P304" s="8"/>
      <c r="Q304" s="13" t="s">
        <v>25</v>
      </c>
    </row>
    <row r="305" customFormat="false" ht="15" hidden="false" customHeight="false" outlineLevel="0" collapsed="false">
      <c r="A305" s="14" t="s">
        <v>443</v>
      </c>
      <c r="B305" s="14" t="s">
        <v>38</v>
      </c>
      <c r="C305" s="14" t="s">
        <v>6</v>
      </c>
      <c r="D305" s="15" t="s">
        <v>265</v>
      </c>
      <c r="E305" s="14"/>
      <c r="F305" s="15"/>
      <c r="G305" s="14" t="s">
        <v>444</v>
      </c>
      <c r="H305" s="16" t="n">
        <v>4.7</v>
      </c>
      <c r="I305" s="17" t="n">
        <v>32.891</v>
      </c>
      <c r="J305" s="18" t="n">
        <v>421172.865</v>
      </c>
      <c r="K305" s="18" t="n">
        <v>2045074.168</v>
      </c>
      <c r="L305" s="19" t="n">
        <v>18.494633</v>
      </c>
      <c r="M305" s="19" t="n">
        <v>-69.7467098</v>
      </c>
      <c r="N305" s="14" t="n">
        <v>300</v>
      </c>
      <c r="O305" s="14" t="s">
        <v>40</v>
      </c>
      <c r="P305" s="15"/>
      <c r="Q305" s="20" t="s">
        <v>25</v>
      </c>
    </row>
    <row r="306" customFormat="false" ht="15" hidden="false" customHeight="false" outlineLevel="0" collapsed="false">
      <c r="A306" s="7" t="s">
        <v>445</v>
      </c>
      <c r="B306" s="7" t="s">
        <v>38</v>
      </c>
      <c r="C306" s="7" t="s">
        <v>6</v>
      </c>
      <c r="D306" s="8" t="s">
        <v>265</v>
      </c>
      <c r="E306" s="7"/>
      <c r="F306" s="8"/>
      <c r="G306" s="7" t="s">
        <v>419</v>
      </c>
      <c r="H306" s="9" t="n">
        <v>4.3</v>
      </c>
      <c r="I306" s="10" t="n">
        <v>32.716</v>
      </c>
      <c r="J306" s="11" t="n">
        <v>421197.02</v>
      </c>
      <c r="K306" s="11" t="n">
        <v>2045060.99</v>
      </c>
      <c r="L306" s="12" t="n">
        <v>18.4945148</v>
      </c>
      <c r="M306" s="12" t="n">
        <v>-69.7464805</v>
      </c>
      <c r="N306" s="7" t="n">
        <v>301</v>
      </c>
      <c r="O306" s="7" t="s">
        <v>40</v>
      </c>
      <c r="P306" s="8"/>
      <c r="Q306" s="13" t="s">
        <v>25</v>
      </c>
    </row>
    <row r="307" customFormat="false" ht="15" hidden="false" customHeight="false" outlineLevel="0" collapsed="false">
      <c r="A307" s="14" t="s">
        <v>446</v>
      </c>
      <c r="B307" s="14" t="s">
        <v>38</v>
      </c>
      <c r="C307" s="14" t="s">
        <v>6</v>
      </c>
      <c r="D307" s="15" t="s">
        <v>265</v>
      </c>
      <c r="E307" s="14"/>
      <c r="F307" s="15"/>
      <c r="G307" s="14" t="s">
        <v>108</v>
      </c>
      <c r="H307" s="16" t="n">
        <v>3.9</v>
      </c>
      <c r="I307" s="17" t="n">
        <v>32.867</v>
      </c>
      <c r="J307" s="18" t="n">
        <v>421230.996</v>
      </c>
      <c r="K307" s="18" t="n">
        <v>2045129.211</v>
      </c>
      <c r="L307" s="19" t="n">
        <v>18.4951326</v>
      </c>
      <c r="M307" s="19" t="n">
        <v>-69.7461614</v>
      </c>
      <c r="N307" s="14" t="n">
        <v>302</v>
      </c>
      <c r="O307" s="14" t="s">
        <v>40</v>
      </c>
      <c r="P307" s="15"/>
      <c r="Q307" s="20" t="s">
        <v>25</v>
      </c>
    </row>
    <row r="308" customFormat="false" ht="15" hidden="false" customHeight="false" outlineLevel="0" collapsed="false">
      <c r="A308" s="7" t="s">
        <v>447</v>
      </c>
      <c r="B308" s="7" t="s">
        <v>38</v>
      </c>
      <c r="C308" s="7" t="s">
        <v>6</v>
      </c>
      <c r="D308" s="8" t="s">
        <v>265</v>
      </c>
      <c r="E308" s="7"/>
      <c r="F308" s="8"/>
      <c r="G308" s="7" t="s">
        <v>108</v>
      </c>
      <c r="H308" s="9" t="n">
        <v>4.1</v>
      </c>
      <c r="I308" s="10" t="n">
        <v>32.646</v>
      </c>
      <c r="J308" s="11" t="n">
        <v>421249.181</v>
      </c>
      <c r="K308" s="11" t="n">
        <v>2045165.909</v>
      </c>
      <c r="L308" s="12" t="n">
        <v>18.4954649</v>
      </c>
      <c r="M308" s="12" t="n">
        <v>-69.7459906</v>
      </c>
      <c r="N308" s="7" t="n">
        <v>303</v>
      </c>
      <c r="O308" s="7" t="s">
        <v>40</v>
      </c>
      <c r="P308" s="8"/>
      <c r="Q308" s="13" t="s">
        <v>25</v>
      </c>
    </row>
    <row r="309" customFormat="false" ht="15" hidden="false" customHeight="false" outlineLevel="0" collapsed="false">
      <c r="A309" s="14" t="s">
        <v>448</v>
      </c>
      <c r="B309" s="14" t="s">
        <v>38</v>
      </c>
      <c r="C309" s="14" t="s">
        <v>6</v>
      </c>
      <c r="D309" s="15" t="s">
        <v>265</v>
      </c>
      <c r="E309" s="14"/>
      <c r="F309" s="15"/>
      <c r="G309" s="14" t="s">
        <v>108</v>
      </c>
      <c r="H309" s="16" t="n">
        <v>4.1</v>
      </c>
      <c r="I309" s="17" t="n">
        <v>32.5</v>
      </c>
      <c r="J309" s="18" t="n">
        <v>421269.197</v>
      </c>
      <c r="K309" s="18" t="n">
        <v>2045206.148</v>
      </c>
      <c r="L309" s="19" t="n">
        <v>18.4958293</v>
      </c>
      <c r="M309" s="19" t="n">
        <v>-69.7458025</v>
      </c>
      <c r="N309" s="14" t="n">
        <v>304</v>
      </c>
      <c r="O309" s="14" t="s">
        <v>40</v>
      </c>
      <c r="P309" s="15"/>
      <c r="Q309" s="20" t="s">
        <v>25</v>
      </c>
    </row>
    <row r="310" customFormat="false" ht="15" hidden="false" customHeight="false" outlineLevel="0" collapsed="false">
      <c r="A310" s="7" t="s">
        <v>449</v>
      </c>
      <c r="B310" s="7" t="s">
        <v>38</v>
      </c>
      <c r="C310" s="7" t="s">
        <v>6</v>
      </c>
      <c r="D310" s="8" t="s">
        <v>265</v>
      </c>
      <c r="E310" s="7"/>
      <c r="F310" s="8"/>
      <c r="G310" s="7" t="s">
        <v>105</v>
      </c>
      <c r="H310" s="9" t="n">
        <v>4</v>
      </c>
      <c r="I310" s="10" t="n">
        <v>31.953</v>
      </c>
      <c r="J310" s="11" t="n">
        <v>421310.298</v>
      </c>
      <c r="K310" s="11" t="n">
        <v>2045288.461</v>
      </c>
      <c r="L310" s="12" t="n">
        <v>18.4965748</v>
      </c>
      <c r="M310" s="12" t="n">
        <v>-69.7454164</v>
      </c>
      <c r="N310" s="7" t="n">
        <v>305</v>
      </c>
      <c r="O310" s="7" t="s">
        <v>40</v>
      </c>
      <c r="P310" s="8"/>
      <c r="Q310" s="13" t="s">
        <v>25</v>
      </c>
    </row>
    <row r="311" customFormat="false" ht="15" hidden="false" customHeight="false" outlineLevel="0" collapsed="false">
      <c r="A311" s="14" t="s">
        <v>450</v>
      </c>
      <c r="B311" s="14" t="s">
        <v>38</v>
      </c>
      <c r="C311" s="14" t="s">
        <v>6</v>
      </c>
      <c r="D311" s="15" t="s">
        <v>265</v>
      </c>
      <c r="E311" s="14"/>
      <c r="F311" s="15"/>
      <c r="G311" s="14" t="s">
        <v>105</v>
      </c>
      <c r="H311" s="16" t="n">
        <v>4</v>
      </c>
      <c r="I311" s="17" t="n">
        <v>30.792</v>
      </c>
      <c r="J311" s="18" t="n">
        <v>421337.807</v>
      </c>
      <c r="K311" s="18" t="n">
        <v>2045339.721</v>
      </c>
      <c r="L311" s="19" t="n">
        <v>18.497039</v>
      </c>
      <c r="M311" s="19" t="n">
        <v>-69.7451579</v>
      </c>
      <c r="N311" s="14" t="n">
        <v>306</v>
      </c>
      <c r="O311" s="14" t="s">
        <v>40</v>
      </c>
      <c r="P311" s="15"/>
      <c r="Q311" s="20" t="s">
        <v>25</v>
      </c>
    </row>
    <row r="312" customFormat="false" ht="15" hidden="false" customHeight="false" outlineLevel="0" collapsed="false">
      <c r="A312" s="7" t="s">
        <v>451</v>
      </c>
      <c r="B312" s="7" t="s">
        <v>38</v>
      </c>
      <c r="C312" s="7" t="s">
        <v>6</v>
      </c>
      <c r="D312" s="8" t="s">
        <v>104</v>
      </c>
      <c r="E312" s="7"/>
      <c r="F312" s="8"/>
      <c r="G312" s="7" t="s">
        <v>105</v>
      </c>
      <c r="H312" s="9" t="n">
        <v>3.8</v>
      </c>
      <c r="I312" s="10" t="n">
        <v>31.294</v>
      </c>
      <c r="J312" s="11" t="n">
        <v>421365.119</v>
      </c>
      <c r="K312" s="11" t="n">
        <v>2045368.357</v>
      </c>
      <c r="L312" s="12" t="n">
        <v>18.4972989</v>
      </c>
      <c r="M312" s="12" t="n">
        <v>-69.7449003</v>
      </c>
      <c r="N312" s="7" t="n">
        <v>307</v>
      </c>
      <c r="O312" s="7" t="s">
        <v>40</v>
      </c>
      <c r="P312" s="8"/>
      <c r="Q312" s="13" t="s">
        <v>25</v>
      </c>
    </row>
    <row r="313" customFormat="false" ht="15" hidden="false" customHeight="false" outlineLevel="0" collapsed="false">
      <c r="A313" s="14" t="s">
        <v>452</v>
      </c>
      <c r="B313" s="14" t="s">
        <v>38</v>
      </c>
      <c r="C313" s="14" t="s">
        <v>6</v>
      </c>
      <c r="D313" s="15" t="s">
        <v>104</v>
      </c>
      <c r="E313" s="14"/>
      <c r="F313" s="15"/>
      <c r="G313" s="14" t="s">
        <v>105</v>
      </c>
      <c r="H313" s="16" t="n">
        <v>17.8</v>
      </c>
      <c r="I313" s="17" t="n">
        <v>31.302</v>
      </c>
      <c r="J313" s="18" t="n">
        <v>421359.524</v>
      </c>
      <c r="K313" s="18" t="n">
        <v>2045381.2</v>
      </c>
      <c r="L313" s="19" t="n">
        <v>18.4974147</v>
      </c>
      <c r="M313" s="19" t="n">
        <v>-69.7449538</v>
      </c>
      <c r="N313" s="14" t="n">
        <v>308</v>
      </c>
      <c r="O313" s="14" t="s">
        <v>40</v>
      </c>
      <c r="P313" s="15"/>
      <c r="Q313" s="20" t="s">
        <v>25</v>
      </c>
    </row>
    <row r="314" customFormat="false" ht="15" hidden="false" customHeight="false" outlineLevel="0" collapsed="false">
      <c r="A314" s="7" t="s">
        <v>453</v>
      </c>
      <c r="B314" s="7" t="s">
        <v>38</v>
      </c>
      <c r="C314" s="7" t="s">
        <v>6</v>
      </c>
      <c r="D314" s="8" t="s">
        <v>104</v>
      </c>
      <c r="E314" s="7"/>
      <c r="F314" s="8"/>
      <c r="G314" s="7" t="s">
        <v>105</v>
      </c>
      <c r="H314" s="9" t="n">
        <v>3.8</v>
      </c>
      <c r="I314" s="10" t="n">
        <v>31.468</v>
      </c>
      <c r="J314" s="11" t="n">
        <v>421403.39</v>
      </c>
      <c r="K314" s="11" t="n">
        <v>2045371.674</v>
      </c>
      <c r="L314" s="12" t="n">
        <v>18.4973303</v>
      </c>
      <c r="M314" s="12" t="n">
        <v>-69.7445379</v>
      </c>
      <c r="N314" s="7" t="n">
        <v>309</v>
      </c>
      <c r="O314" s="7" t="s">
        <v>40</v>
      </c>
      <c r="P314" s="8"/>
      <c r="Q314" s="13" t="s">
        <v>25</v>
      </c>
    </row>
    <row r="315" customFormat="false" ht="15" hidden="false" customHeight="false" outlineLevel="0" collapsed="false">
      <c r="A315" s="14" t="s">
        <v>454</v>
      </c>
      <c r="B315" s="14" t="s">
        <v>38</v>
      </c>
      <c r="C315" s="14" t="s">
        <v>6</v>
      </c>
      <c r="D315" s="15" t="s">
        <v>104</v>
      </c>
      <c r="E315" s="14"/>
      <c r="F315" s="15"/>
      <c r="G315" s="14" t="s">
        <v>105</v>
      </c>
      <c r="H315" s="16" t="n">
        <v>3</v>
      </c>
      <c r="I315" s="17" t="n">
        <v>32.463</v>
      </c>
      <c r="J315" s="18" t="n">
        <v>421491.814</v>
      </c>
      <c r="K315" s="18" t="n">
        <v>2045328.103</v>
      </c>
      <c r="L315" s="19" t="n">
        <v>18.4969398</v>
      </c>
      <c r="M315" s="19" t="n">
        <v>-69.7436986</v>
      </c>
      <c r="N315" s="14" t="n">
        <v>310</v>
      </c>
      <c r="O315" s="14" t="s">
        <v>40</v>
      </c>
      <c r="P315" s="15"/>
      <c r="Q315" s="20" t="s">
        <v>25</v>
      </c>
    </row>
    <row r="316" customFormat="false" ht="15" hidden="false" customHeight="false" outlineLevel="0" collapsed="false">
      <c r="A316" s="7" t="s">
        <v>455</v>
      </c>
      <c r="B316" s="7" t="s">
        <v>38</v>
      </c>
      <c r="C316" s="7" t="s">
        <v>6</v>
      </c>
      <c r="D316" s="8" t="s">
        <v>104</v>
      </c>
      <c r="E316" s="7"/>
      <c r="F316" s="8"/>
      <c r="G316" s="7" t="s">
        <v>101</v>
      </c>
      <c r="H316" s="9" t="n">
        <v>3.3</v>
      </c>
      <c r="I316" s="10" t="n">
        <v>31.351</v>
      </c>
      <c r="J316" s="11" t="n">
        <v>421408.296</v>
      </c>
      <c r="K316" s="11" t="n">
        <v>2045381.491</v>
      </c>
      <c r="L316" s="12" t="n">
        <v>18.4974192</v>
      </c>
      <c r="M316" s="12" t="n">
        <v>-69.7444918</v>
      </c>
      <c r="N316" s="7" t="n">
        <v>311</v>
      </c>
      <c r="O316" s="7" t="s">
        <v>40</v>
      </c>
      <c r="P316" s="8"/>
      <c r="Q316" s="13" t="s">
        <v>25</v>
      </c>
    </row>
    <row r="317" customFormat="false" ht="15" hidden="false" customHeight="false" outlineLevel="0" collapsed="false">
      <c r="A317" s="14" t="s">
        <v>456</v>
      </c>
      <c r="B317" s="14" t="s">
        <v>38</v>
      </c>
      <c r="C317" s="14" t="s">
        <v>6</v>
      </c>
      <c r="D317" s="15" t="s">
        <v>104</v>
      </c>
      <c r="E317" s="14"/>
      <c r="F317" s="15"/>
      <c r="G317" s="14" t="s">
        <v>457</v>
      </c>
      <c r="H317" s="16" t="n">
        <v>2.6</v>
      </c>
      <c r="I317" s="17" t="n">
        <v>30.115</v>
      </c>
      <c r="J317" s="18" t="n">
        <v>421256.998</v>
      </c>
      <c r="K317" s="18" t="n">
        <v>2045463.672</v>
      </c>
      <c r="L317" s="19" t="n">
        <v>18.4981562</v>
      </c>
      <c r="M317" s="19" t="n">
        <v>-69.7459282</v>
      </c>
      <c r="N317" s="14" t="n">
        <v>312</v>
      </c>
      <c r="O317" s="14" t="s">
        <v>40</v>
      </c>
      <c r="P317" s="15"/>
      <c r="Q317" s="20" t="s">
        <v>25</v>
      </c>
    </row>
    <row r="318" customFormat="false" ht="15" hidden="false" customHeight="false" outlineLevel="0" collapsed="false">
      <c r="A318" s="7" t="s">
        <v>458</v>
      </c>
      <c r="B318" s="7" t="s">
        <v>21</v>
      </c>
      <c r="C318" s="7" t="s">
        <v>6</v>
      </c>
      <c r="D318" s="8" t="s">
        <v>104</v>
      </c>
      <c r="E318" s="7"/>
      <c r="F318" s="8"/>
      <c r="G318" s="7" t="s">
        <v>459</v>
      </c>
      <c r="H318" s="9" t="n">
        <v>2.9</v>
      </c>
      <c r="I318" s="10" t="n">
        <v>29.76</v>
      </c>
      <c r="J318" s="11" t="n">
        <v>421185.696</v>
      </c>
      <c r="K318" s="11" t="n">
        <v>2045499.001</v>
      </c>
      <c r="L318" s="12" t="n">
        <v>18.4984728</v>
      </c>
      <c r="M318" s="12" t="n">
        <v>-69.7466049</v>
      </c>
      <c r="N318" s="7" t="n">
        <v>313</v>
      </c>
      <c r="O318" s="7" t="s">
        <v>24</v>
      </c>
      <c r="P318" s="8"/>
      <c r="Q318" s="13" t="s">
        <v>25</v>
      </c>
    </row>
    <row r="319" customFormat="false" ht="15" hidden="false" customHeight="false" outlineLevel="0" collapsed="false">
      <c r="A319" s="14" t="s">
        <v>460</v>
      </c>
      <c r="B319" s="14" t="s">
        <v>38</v>
      </c>
      <c r="C319" s="14" t="s">
        <v>6</v>
      </c>
      <c r="D319" s="15" t="s">
        <v>104</v>
      </c>
      <c r="E319" s="14"/>
      <c r="F319" s="15"/>
      <c r="G319" s="14" t="s">
        <v>434</v>
      </c>
      <c r="H319" s="16" t="n">
        <v>24.5</v>
      </c>
      <c r="I319" s="17" t="n">
        <v>30.163</v>
      </c>
      <c r="J319" s="18" t="n">
        <v>421077.939</v>
      </c>
      <c r="K319" s="18" t="n">
        <v>2045543.549</v>
      </c>
      <c r="L319" s="19" t="n">
        <v>18.4988714</v>
      </c>
      <c r="M319" s="19" t="n">
        <v>-69.7476274</v>
      </c>
      <c r="N319" s="14" t="n">
        <v>314</v>
      </c>
      <c r="O319" s="14" t="s">
        <v>40</v>
      </c>
      <c r="P319" s="15"/>
      <c r="Q319" s="20" t="s">
        <v>25</v>
      </c>
    </row>
    <row r="320" customFormat="false" ht="15" hidden="false" customHeight="false" outlineLevel="0" collapsed="false">
      <c r="A320" s="7" t="s">
        <v>461</v>
      </c>
      <c r="B320" s="7" t="s">
        <v>38</v>
      </c>
      <c r="C320" s="7" t="s">
        <v>6</v>
      </c>
      <c r="D320" s="8" t="s">
        <v>104</v>
      </c>
      <c r="E320" s="7"/>
      <c r="F320" s="8"/>
      <c r="G320" s="7" t="s">
        <v>434</v>
      </c>
      <c r="H320" s="9" t="n">
        <v>24.5</v>
      </c>
      <c r="I320" s="10" t="n">
        <v>30.201</v>
      </c>
      <c r="J320" s="11" t="n">
        <v>421061.402</v>
      </c>
      <c r="K320" s="11" t="n">
        <v>2045549.072</v>
      </c>
      <c r="L320" s="12" t="n">
        <v>18.4989207</v>
      </c>
      <c r="M320" s="12" t="n">
        <v>-69.7477843</v>
      </c>
      <c r="N320" s="7" t="n">
        <v>315</v>
      </c>
      <c r="O320" s="7" t="s">
        <v>40</v>
      </c>
      <c r="P320" s="8"/>
      <c r="Q320" s="13" t="s">
        <v>25</v>
      </c>
    </row>
    <row r="321" customFormat="false" ht="15" hidden="false" customHeight="false" outlineLevel="0" collapsed="false">
      <c r="A321" s="14" t="s">
        <v>462</v>
      </c>
      <c r="B321" s="14" t="s">
        <v>21</v>
      </c>
      <c r="C321" s="14" t="s">
        <v>6</v>
      </c>
      <c r="D321" s="15" t="s">
        <v>104</v>
      </c>
      <c r="E321" s="14"/>
      <c r="F321" s="15"/>
      <c r="G321" s="14" t="s">
        <v>381</v>
      </c>
      <c r="H321" s="16" t="n">
        <v>22.4</v>
      </c>
      <c r="I321" s="17" t="n">
        <v>30.197</v>
      </c>
      <c r="J321" s="18" t="n">
        <v>420860.745</v>
      </c>
      <c r="K321" s="18" t="n">
        <v>2045615.955</v>
      </c>
      <c r="L321" s="19" t="n">
        <v>18.4995176</v>
      </c>
      <c r="M321" s="19" t="n">
        <v>-69.7496876</v>
      </c>
      <c r="N321" s="14" t="n">
        <v>316</v>
      </c>
      <c r="O321" s="14" t="s">
        <v>24</v>
      </c>
      <c r="P321" s="15"/>
      <c r="Q321" s="20" t="s">
        <v>25</v>
      </c>
    </row>
    <row r="322" customFormat="false" ht="15" hidden="false" customHeight="false" outlineLevel="0" collapsed="false">
      <c r="A322" s="7" t="s">
        <v>463</v>
      </c>
      <c r="B322" s="7" t="s">
        <v>21</v>
      </c>
      <c r="C322" s="7" t="s">
        <v>6</v>
      </c>
      <c r="D322" s="8" t="s">
        <v>104</v>
      </c>
      <c r="E322" s="7"/>
      <c r="F322" s="8"/>
      <c r="G322" s="7" t="s">
        <v>381</v>
      </c>
      <c r="H322" s="9" t="n">
        <v>6.2</v>
      </c>
      <c r="I322" s="10" t="n">
        <v>30.024</v>
      </c>
      <c r="J322" s="11" t="n">
        <v>420856.952</v>
      </c>
      <c r="K322" s="11" t="n">
        <v>2045600.24</v>
      </c>
      <c r="L322" s="12" t="n">
        <v>18.4993755</v>
      </c>
      <c r="M322" s="12" t="n">
        <v>-69.7497229</v>
      </c>
      <c r="N322" s="7" t="n">
        <v>317</v>
      </c>
      <c r="O322" s="7" t="s">
        <v>24</v>
      </c>
      <c r="P322" s="8"/>
      <c r="Q322" s="13" t="s">
        <v>25</v>
      </c>
    </row>
    <row r="323" customFormat="false" ht="15" hidden="false" customHeight="false" outlineLevel="0" collapsed="false">
      <c r="A323" s="14" t="s">
        <v>464</v>
      </c>
      <c r="B323" s="14" t="s">
        <v>38</v>
      </c>
      <c r="C323" s="14" t="s">
        <v>6</v>
      </c>
      <c r="D323" s="15" t="s">
        <v>104</v>
      </c>
      <c r="E323" s="14"/>
      <c r="F323" s="15"/>
      <c r="G323" s="14" t="s">
        <v>434</v>
      </c>
      <c r="H323" s="16" t="n">
        <v>8.6</v>
      </c>
      <c r="I323" s="17" t="n">
        <v>30.632</v>
      </c>
      <c r="J323" s="18" t="n">
        <v>421057.049</v>
      </c>
      <c r="K323" s="18" t="n">
        <v>2045533.767</v>
      </c>
      <c r="L323" s="19" t="n">
        <v>18.4987822</v>
      </c>
      <c r="M323" s="19" t="n">
        <v>-69.7478249</v>
      </c>
      <c r="N323" s="14" t="n">
        <v>318</v>
      </c>
      <c r="O323" s="14" t="s">
        <v>40</v>
      </c>
      <c r="P323" s="15"/>
      <c r="Q323" s="20" t="s">
        <v>25</v>
      </c>
    </row>
    <row r="324" customFormat="false" ht="15" hidden="false" customHeight="false" outlineLevel="0" collapsed="false">
      <c r="A324" s="7" t="s">
        <v>465</v>
      </c>
      <c r="B324" s="7" t="s">
        <v>21</v>
      </c>
      <c r="C324" s="7" t="s">
        <v>6</v>
      </c>
      <c r="D324" s="8" t="s">
        <v>104</v>
      </c>
      <c r="E324" s="7"/>
      <c r="F324" s="8"/>
      <c r="G324" s="7" t="s">
        <v>440</v>
      </c>
      <c r="H324" s="9" t="n">
        <v>7.8</v>
      </c>
      <c r="I324" s="10" t="n">
        <v>29.823</v>
      </c>
      <c r="J324" s="11" t="n">
        <v>421176.714</v>
      </c>
      <c r="K324" s="11" t="n">
        <v>2045485.821</v>
      </c>
      <c r="L324" s="12" t="n">
        <v>18.4983534</v>
      </c>
      <c r="M324" s="12" t="n">
        <v>-69.7466895</v>
      </c>
      <c r="N324" s="7" t="n">
        <v>319</v>
      </c>
      <c r="O324" s="7" t="s">
        <v>24</v>
      </c>
      <c r="P324" s="8"/>
      <c r="Q324" s="13" t="s">
        <v>25</v>
      </c>
    </row>
    <row r="325" customFormat="false" ht="15" hidden="false" customHeight="false" outlineLevel="0" collapsed="false">
      <c r="A325" s="14" t="s">
        <v>466</v>
      </c>
      <c r="B325" s="14" t="s">
        <v>38</v>
      </c>
      <c r="C325" s="14" t="s">
        <v>6</v>
      </c>
      <c r="D325" s="15" t="s">
        <v>104</v>
      </c>
      <c r="E325" s="14"/>
      <c r="F325" s="15"/>
      <c r="G325" s="14" t="s">
        <v>440</v>
      </c>
      <c r="H325" s="16" t="n">
        <v>6.6</v>
      </c>
      <c r="I325" s="17" t="n">
        <v>30.399</v>
      </c>
      <c r="J325" s="18" t="n">
        <v>421250.033</v>
      </c>
      <c r="K325" s="18" t="n">
        <v>2045449.168</v>
      </c>
      <c r="L325" s="19" t="n">
        <v>18.4980249</v>
      </c>
      <c r="M325" s="19" t="n">
        <v>-69.7459936</v>
      </c>
      <c r="N325" s="14" t="n">
        <v>320</v>
      </c>
      <c r="O325" s="14" t="s">
        <v>40</v>
      </c>
      <c r="P325" s="15"/>
      <c r="Q325" s="20" t="s">
        <v>25</v>
      </c>
    </row>
    <row r="326" customFormat="false" ht="15" hidden="false" customHeight="false" outlineLevel="0" collapsed="false">
      <c r="A326" s="7" t="s">
        <v>467</v>
      </c>
      <c r="B326" s="7" t="s">
        <v>38</v>
      </c>
      <c r="C326" s="7" t="s">
        <v>6</v>
      </c>
      <c r="D326" s="8" t="s">
        <v>104</v>
      </c>
      <c r="E326" s="7"/>
      <c r="F326" s="8"/>
      <c r="G326" s="7" t="s">
        <v>440</v>
      </c>
      <c r="H326" s="9" t="n">
        <v>24.5</v>
      </c>
      <c r="I326" s="10" t="n">
        <v>30.94</v>
      </c>
      <c r="J326" s="11" t="n">
        <v>421332.594</v>
      </c>
      <c r="K326" s="11" t="n">
        <v>2045406.377</v>
      </c>
      <c r="L326" s="12" t="n">
        <v>18.4976413</v>
      </c>
      <c r="M326" s="12" t="n">
        <v>-69.7452099</v>
      </c>
      <c r="N326" s="7" t="n">
        <v>321</v>
      </c>
      <c r="O326" s="7" t="s">
        <v>40</v>
      </c>
      <c r="P326" s="8"/>
      <c r="Q326" s="13" t="s">
        <v>25</v>
      </c>
    </row>
    <row r="327" customFormat="false" ht="15" hidden="false" customHeight="false" outlineLevel="0" collapsed="false">
      <c r="A327" s="14" t="s">
        <v>468</v>
      </c>
      <c r="B327" s="14" t="s">
        <v>21</v>
      </c>
      <c r="C327" s="14" t="s">
        <v>6</v>
      </c>
      <c r="D327" s="15" t="s">
        <v>104</v>
      </c>
      <c r="E327" s="14"/>
      <c r="F327" s="15"/>
      <c r="G327" s="14" t="s">
        <v>101</v>
      </c>
      <c r="H327" s="16" t="n">
        <v>6.6</v>
      </c>
      <c r="I327" s="17" t="n">
        <v>31.027</v>
      </c>
      <c r="J327" s="18" t="n">
        <v>421403.682</v>
      </c>
      <c r="K327" s="18" t="n">
        <v>2045397.605</v>
      </c>
      <c r="L327" s="19" t="n">
        <v>18.4975646</v>
      </c>
      <c r="M327" s="19" t="n">
        <v>-69.7445361</v>
      </c>
      <c r="N327" s="14" t="n">
        <v>322</v>
      </c>
      <c r="O327" s="14" t="s">
        <v>24</v>
      </c>
      <c r="P327" s="15"/>
      <c r="Q327" s="20" t="s">
        <v>25</v>
      </c>
    </row>
    <row r="328" customFormat="false" ht="15" hidden="false" customHeight="false" outlineLevel="0" collapsed="false">
      <c r="A328" s="7" t="s">
        <v>469</v>
      </c>
      <c r="B328" s="7" t="s">
        <v>21</v>
      </c>
      <c r="C328" s="7" t="s">
        <v>6</v>
      </c>
      <c r="D328" s="8" t="s">
        <v>265</v>
      </c>
      <c r="E328" s="7"/>
      <c r="F328" s="8"/>
      <c r="G328" s="7" t="s">
        <v>470</v>
      </c>
      <c r="H328" s="9" t="n">
        <v>3.9</v>
      </c>
      <c r="I328" s="10" t="n">
        <v>31.009</v>
      </c>
      <c r="J328" s="11" t="n">
        <v>421394.776</v>
      </c>
      <c r="K328" s="11" t="n">
        <v>2045409.962</v>
      </c>
      <c r="L328" s="12" t="n">
        <v>18.497676</v>
      </c>
      <c r="M328" s="12" t="n">
        <v>-69.744621</v>
      </c>
      <c r="N328" s="7" t="n">
        <v>323</v>
      </c>
      <c r="O328" s="7" t="s">
        <v>24</v>
      </c>
      <c r="P328" s="8"/>
      <c r="Q328" s="13" t="s">
        <v>25</v>
      </c>
    </row>
    <row r="329" customFormat="false" ht="15" hidden="false" customHeight="false" outlineLevel="0" collapsed="false">
      <c r="A329" s="14" t="s">
        <v>471</v>
      </c>
      <c r="B329" s="14" t="s">
        <v>38</v>
      </c>
      <c r="C329" s="14" t="s">
        <v>6</v>
      </c>
      <c r="D329" s="15" t="s">
        <v>265</v>
      </c>
      <c r="E329" s="14"/>
      <c r="F329" s="15"/>
      <c r="G329" s="14" t="s">
        <v>101</v>
      </c>
      <c r="H329" s="16" t="n">
        <v>5.4</v>
      </c>
      <c r="I329" s="17" t="n">
        <v>31.382</v>
      </c>
      <c r="J329" s="18" t="n">
        <v>421472.084</v>
      </c>
      <c r="K329" s="18" t="n">
        <v>2045469.28</v>
      </c>
      <c r="L329" s="19" t="n">
        <v>18.4982149</v>
      </c>
      <c r="M329" s="19" t="n">
        <v>-69.743891</v>
      </c>
      <c r="N329" s="14" t="n">
        <v>324</v>
      </c>
      <c r="O329" s="14" t="s">
        <v>40</v>
      </c>
      <c r="P329" s="15"/>
      <c r="Q329" s="20" t="s">
        <v>25</v>
      </c>
    </row>
    <row r="330" customFormat="false" ht="15" hidden="false" customHeight="false" outlineLevel="0" collapsed="false">
      <c r="A330" s="7" t="s">
        <v>472</v>
      </c>
      <c r="B330" s="7" t="s">
        <v>38</v>
      </c>
      <c r="C330" s="7" t="s">
        <v>6</v>
      </c>
      <c r="D330" s="8" t="s">
        <v>265</v>
      </c>
      <c r="E330" s="7"/>
      <c r="F330" s="8"/>
      <c r="G330" s="7" t="s">
        <v>470</v>
      </c>
      <c r="H330" s="9" t="n">
        <v>3</v>
      </c>
      <c r="I330" s="10" t="n">
        <v>31.513</v>
      </c>
      <c r="J330" s="11" t="n">
        <v>421465.282</v>
      </c>
      <c r="K330" s="11" t="n">
        <v>2045478.234</v>
      </c>
      <c r="L330" s="12" t="n">
        <v>18.4982956</v>
      </c>
      <c r="M330" s="12" t="n">
        <v>-69.7439558</v>
      </c>
      <c r="N330" s="7" t="n">
        <v>325</v>
      </c>
      <c r="O330" s="7" t="s">
        <v>40</v>
      </c>
      <c r="P330" s="8"/>
      <c r="Q330" s="13" t="s">
        <v>25</v>
      </c>
    </row>
    <row r="331" customFormat="false" ht="15" hidden="false" customHeight="false" outlineLevel="0" collapsed="false">
      <c r="A331" s="14" t="s">
        <v>473</v>
      </c>
      <c r="B331" s="14" t="s">
        <v>38</v>
      </c>
      <c r="C331" s="14" t="s">
        <v>6</v>
      </c>
      <c r="D331" s="15" t="s">
        <v>474</v>
      </c>
      <c r="E331" s="14"/>
      <c r="F331" s="15"/>
      <c r="G331" s="14" t="s">
        <v>101</v>
      </c>
      <c r="H331" s="16" t="n">
        <v>8.3</v>
      </c>
      <c r="I331" s="17" t="n">
        <v>31.231</v>
      </c>
      <c r="J331" s="18" t="n">
        <v>421532.65</v>
      </c>
      <c r="K331" s="18" t="n">
        <v>2045573.26</v>
      </c>
      <c r="L331" s="19" t="n">
        <v>18.4991569</v>
      </c>
      <c r="M331" s="19" t="n">
        <v>-69.7433214</v>
      </c>
      <c r="N331" s="14" t="n">
        <v>326</v>
      </c>
      <c r="O331" s="14" t="s">
        <v>40</v>
      </c>
      <c r="P331" s="15"/>
      <c r="Q331" s="20" t="s">
        <v>25</v>
      </c>
    </row>
    <row r="332" customFormat="false" ht="15" hidden="false" customHeight="false" outlineLevel="0" collapsed="false">
      <c r="A332" s="7" t="s">
        <v>475</v>
      </c>
      <c r="B332" s="7" t="s">
        <v>38</v>
      </c>
      <c r="C332" s="7" t="s">
        <v>6</v>
      </c>
      <c r="D332" s="8" t="s">
        <v>474</v>
      </c>
      <c r="E332" s="7"/>
      <c r="F332" s="8"/>
      <c r="G332" s="7" t="s">
        <v>101</v>
      </c>
      <c r="H332" s="9" t="n">
        <v>5.2</v>
      </c>
      <c r="I332" s="10" t="n">
        <v>30.804</v>
      </c>
      <c r="J332" s="11" t="n">
        <v>421614.716</v>
      </c>
      <c r="K332" s="11" t="n">
        <v>2045530.566</v>
      </c>
      <c r="L332" s="12" t="n">
        <v>18.4987741</v>
      </c>
      <c r="M332" s="12" t="n">
        <v>-69.7425423</v>
      </c>
      <c r="N332" s="7" t="n">
        <v>327</v>
      </c>
      <c r="O332" s="7" t="s">
        <v>40</v>
      </c>
      <c r="P332" s="8"/>
      <c r="Q332" s="13" t="s">
        <v>25</v>
      </c>
    </row>
    <row r="333" customFormat="false" ht="15" hidden="false" customHeight="false" outlineLevel="0" collapsed="false">
      <c r="A333" s="14" t="s">
        <v>476</v>
      </c>
      <c r="B333" s="14" t="s">
        <v>38</v>
      </c>
      <c r="C333" s="14" t="s">
        <v>6</v>
      </c>
      <c r="D333" s="15" t="s">
        <v>474</v>
      </c>
      <c r="E333" s="14"/>
      <c r="F333" s="15"/>
      <c r="G333" s="14" t="s">
        <v>477</v>
      </c>
      <c r="H333" s="16" t="n">
        <v>3.3</v>
      </c>
      <c r="I333" s="17" t="n">
        <v>29.713</v>
      </c>
      <c r="J333" s="18" t="n">
        <v>421790.02</v>
      </c>
      <c r="K333" s="18" t="n">
        <v>2045423.971</v>
      </c>
      <c r="L333" s="19" t="n">
        <v>18.4978173</v>
      </c>
      <c r="M333" s="19" t="n">
        <v>-69.7408776</v>
      </c>
      <c r="N333" s="14" t="n">
        <v>328</v>
      </c>
      <c r="O333" s="14" t="s">
        <v>40</v>
      </c>
      <c r="P333" s="15"/>
      <c r="Q333" s="20" t="s">
        <v>25</v>
      </c>
    </row>
    <row r="334" customFormat="false" ht="15" hidden="false" customHeight="false" outlineLevel="0" collapsed="false">
      <c r="A334" s="7" t="s">
        <v>478</v>
      </c>
      <c r="B334" s="7" t="s">
        <v>38</v>
      </c>
      <c r="C334" s="7" t="s">
        <v>6</v>
      </c>
      <c r="D334" s="8" t="s">
        <v>474</v>
      </c>
      <c r="E334" s="7"/>
      <c r="F334" s="8"/>
      <c r="G334" s="7" t="s">
        <v>477</v>
      </c>
      <c r="H334" s="9" t="n">
        <v>1.3</v>
      </c>
      <c r="I334" s="10" t="n">
        <v>29.414</v>
      </c>
      <c r="J334" s="11" t="n">
        <v>421791.973</v>
      </c>
      <c r="K334" s="11" t="n">
        <v>2045420.906</v>
      </c>
      <c r="L334" s="12" t="n">
        <v>18.4977896</v>
      </c>
      <c r="M334" s="12" t="n">
        <v>-69.740859</v>
      </c>
      <c r="N334" s="7" t="n">
        <v>329</v>
      </c>
      <c r="O334" s="7" t="s">
        <v>40</v>
      </c>
      <c r="P334" s="8"/>
      <c r="Q334" s="13" t="s">
        <v>25</v>
      </c>
    </row>
    <row r="335" customFormat="false" ht="15" hidden="false" customHeight="false" outlineLevel="0" collapsed="false">
      <c r="A335" s="14" t="s">
        <v>479</v>
      </c>
      <c r="B335" s="14" t="s">
        <v>38</v>
      </c>
      <c r="C335" s="14" t="s">
        <v>6</v>
      </c>
      <c r="D335" s="15" t="s">
        <v>480</v>
      </c>
      <c r="E335" s="14"/>
      <c r="F335" s="15"/>
      <c r="G335" s="14" t="s">
        <v>477</v>
      </c>
      <c r="H335" s="16" t="n">
        <v>0.3</v>
      </c>
      <c r="I335" s="17" t="n">
        <v>30.313</v>
      </c>
      <c r="J335" s="18" t="n">
        <v>421774.651</v>
      </c>
      <c r="K335" s="18" t="n">
        <v>2045302.577</v>
      </c>
      <c r="L335" s="19" t="n">
        <v>18.4967196</v>
      </c>
      <c r="M335" s="19" t="n">
        <v>-69.7410185</v>
      </c>
      <c r="N335" s="14" t="n">
        <v>330</v>
      </c>
      <c r="O335" s="14" t="s">
        <v>40</v>
      </c>
      <c r="P335" s="15"/>
      <c r="Q335" s="20" t="s">
        <v>25</v>
      </c>
    </row>
    <row r="336" customFormat="false" ht="25.35" hidden="false" customHeight="false" outlineLevel="0" collapsed="false">
      <c r="A336" s="7" t="s">
        <v>481</v>
      </c>
      <c r="B336" s="7" t="s">
        <v>38</v>
      </c>
      <c r="C336" s="7" t="s">
        <v>29</v>
      </c>
      <c r="D336" s="8"/>
      <c r="E336" s="7" t="s">
        <v>51</v>
      </c>
      <c r="F336" s="8" t="s">
        <v>482</v>
      </c>
      <c r="G336" s="7" t="s">
        <v>51</v>
      </c>
      <c r="H336" s="9" t="n">
        <v>0</v>
      </c>
      <c r="I336" s="10" t="n">
        <v>31.871</v>
      </c>
      <c r="J336" s="11" t="n">
        <v>421622.992</v>
      </c>
      <c r="K336" s="11" t="n">
        <v>2045303.149</v>
      </c>
      <c r="L336" s="12" t="n">
        <v>18.4967191</v>
      </c>
      <c r="M336" s="12" t="n">
        <v>-69.7424551</v>
      </c>
      <c r="N336" s="7" t="n">
        <v>331</v>
      </c>
      <c r="O336" s="7" t="s">
        <v>40</v>
      </c>
      <c r="P336" s="8"/>
      <c r="Q336" s="13" t="s">
        <v>25</v>
      </c>
    </row>
    <row r="337" customFormat="false" ht="15" hidden="false" customHeight="false" outlineLevel="0" collapsed="false">
      <c r="A337" s="14" t="s">
        <v>483</v>
      </c>
      <c r="B337" s="14" t="s">
        <v>38</v>
      </c>
      <c r="C337" s="14" t="s">
        <v>6</v>
      </c>
      <c r="D337" s="15" t="s">
        <v>480</v>
      </c>
      <c r="E337" s="14"/>
      <c r="F337" s="15"/>
      <c r="G337" s="14" t="s">
        <v>484</v>
      </c>
      <c r="H337" s="16" t="n">
        <v>2.5</v>
      </c>
      <c r="I337" s="17" t="n">
        <v>30.961</v>
      </c>
      <c r="J337" s="18" t="n">
        <v>421698.462</v>
      </c>
      <c r="K337" s="18" t="n">
        <v>2045290.437</v>
      </c>
      <c r="L337" s="19" t="n">
        <v>18.4966071</v>
      </c>
      <c r="M337" s="19" t="n">
        <v>-69.7417397</v>
      </c>
      <c r="N337" s="14" t="n">
        <v>332</v>
      </c>
      <c r="O337" s="14" t="s">
        <v>40</v>
      </c>
      <c r="P337" s="15"/>
      <c r="Q337" s="20" t="s">
        <v>25</v>
      </c>
    </row>
    <row r="338" customFormat="false" ht="15" hidden="false" customHeight="false" outlineLevel="0" collapsed="false">
      <c r="A338" s="7" t="s">
        <v>485</v>
      </c>
      <c r="B338" s="7" t="s">
        <v>38</v>
      </c>
      <c r="C338" s="7" t="s">
        <v>6</v>
      </c>
      <c r="D338" s="8" t="s">
        <v>480</v>
      </c>
      <c r="E338" s="7"/>
      <c r="F338" s="8"/>
      <c r="G338" s="7" t="s">
        <v>484</v>
      </c>
      <c r="H338" s="9" t="n">
        <v>2</v>
      </c>
      <c r="I338" s="10" t="n">
        <v>30.292</v>
      </c>
      <c r="J338" s="11" t="n">
        <v>421774.699</v>
      </c>
      <c r="K338" s="11" t="n">
        <v>2045290.025</v>
      </c>
      <c r="L338" s="12" t="n">
        <v>18.4966062</v>
      </c>
      <c r="M338" s="12" t="n">
        <v>-69.7410176</v>
      </c>
      <c r="N338" s="7" t="n">
        <v>333</v>
      </c>
      <c r="O338" s="7" t="s">
        <v>40</v>
      </c>
      <c r="P338" s="8"/>
      <c r="Q338" s="13" t="s">
        <v>25</v>
      </c>
    </row>
    <row r="339" customFormat="false" ht="15" hidden="false" customHeight="false" outlineLevel="0" collapsed="false">
      <c r="A339" s="14" t="s">
        <v>486</v>
      </c>
      <c r="B339" s="14" t="s">
        <v>38</v>
      </c>
      <c r="C339" s="14" t="s">
        <v>6</v>
      </c>
      <c r="D339" s="15" t="s">
        <v>480</v>
      </c>
      <c r="E339" s="14"/>
      <c r="F339" s="15"/>
      <c r="G339" s="14" t="s">
        <v>484</v>
      </c>
      <c r="H339" s="16" t="n">
        <v>1.4</v>
      </c>
      <c r="I339" s="17" t="n">
        <v>30.141</v>
      </c>
      <c r="J339" s="18" t="n">
        <v>421854.823</v>
      </c>
      <c r="K339" s="18" t="n">
        <v>2045289.549</v>
      </c>
      <c r="L339" s="19" t="n">
        <v>18.4966048</v>
      </c>
      <c r="M339" s="19" t="n">
        <v>-69.7402586</v>
      </c>
      <c r="N339" s="14" t="n">
        <v>334</v>
      </c>
      <c r="O339" s="14" t="s">
        <v>40</v>
      </c>
      <c r="P339" s="15"/>
      <c r="Q339" s="20" t="s">
        <v>25</v>
      </c>
    </row>
    <row r="340" customFormat="false" ht="15" hidden="false" customHeight="false" outlineLevel="0" collapsed="false">
      <c r="A340" s="7" t="s">
        <v>487</v>
      </c>
      <c r="B340" s="7" t="s">
        <v>21</v>
      </c>
      <c r="C340" s="7" t="s">
        <v>6</v>
      </c>
      <c r="D340" s="8" t="s">
        <v>480</v>
      </c>
      <c r="E340" s="7"/>
      <c r="F340" s="8"/>
      <c r="G340" s="7" t="s">
        <v>484</v>
      </c>
      <c r="H340" s="9" t="n">
        <v>1.8</v>
      </c>
      <c r="I340" s="10" t="n">
        <v>29.879</v>
      </c>
      <c r="J340" s="11" t="n">
        <v>421997.094</v>
      </c>
      <c r="K340" s="11" t="n">
        <v>2045290.214</v>
      </c>
      <c r="L340" s="12" t="n">
        <v>18.4966161</v>
      </c>
      <c r="M340" s="12" t="n">
        <v>-69.738911</v>
      </c>
      <c r="N340" s="7" t="n">
        <v>335</v>
      </c>
      <c r="O340" s="7" t="s">
        <v>24</v>
      </c>
      <c r="P340" s="8"/>
      <c r="Q340" s="13" t="s">
        <v>25</v>
      </c>
    </row>
    <row r="341" customFormat="false" ht="15" hidden="false" customHeight="false" outlineLevel="0" collapsed="false">
      <c r="A341" s="14" t="s">
        <v>488</v>
      </c>
      <c r="B341" s="14" t="s">
        <v>21</v>
      </c>
      <c r="C341" s="14" t="s">
        <v>6</v>
      </c>
      <c r="D341" s="15" t="s">
        <v>480</v>
      </c>
      <c r="E341" s="14"/>
      <c r="F341" s="15"/>
      <c r="G341" s="14" t="s">
        <v>484</v>
      </c>
      <c r="H341" s="16" t="n">
        <v>0.7</v>
      </c>
      <c r="I341" s="17" t="n">
        <v>29.374</v>
      </c>
      <c r="J341" s="18" t="n">
        <v>421997.379</v>
      </c>
      <c r="K341" s="18" t="n">
        <v>2045289.065</v>
      </c>
      <c r="L341" s="19" t="n">
        <v>18.4966057</v>
      </c>
      <c r="M341" s="19" t="n">
        <v>-69.7389082</v>
      </c>
      <c r="N341" s="14" t="n">
        <v>336</v>
      </c>
      <c r="O341" s="14" t="s">
        <v>24</v>
      </c>
      <c r="P341" s="15"/>
      <c r="Q341" s="20" t="s">
        <v>25</v>
      </c>
    </row>
    <row r="342" customFormat="false" ht="15" hidden="false" customHeight="false" outlineLevel="0" collapsed="false">
      <c r="A342" s="7" t="s">
        <v>489</v>
      </c>
      <c r="B342" s="7" t="s">
        <v>21</v>
      </c>
      <c r="C342" s="7" t="s">
        <v>6</v>
      </c>
      <c r="D342" s="8" t="s">
        <v>480</v>
      </c>
      <c r="E342" s="7"/>
      <c r="F342" s="8"/>
      <c r="G342" s="7" t="s">
        <v>490</v>
      </c>
      <c r="H342" s="9" t="n">
        <v>1.3</v>
      </c>
      <c r="I342" s="10" t="n">
        <v>29.398</v>
      </c>
      <c r="J342" s="11" t="n">
        <v>421995.763</v>
      </c>
      <c r="K342" s="11" t="n">
        <v>2045301.35</v>
      </c>
      <c r="L342" s="12" t="n">
        <v>18.4967167</v>
      </c>
      <c r="M342" s="12" t="n">
        <v>-69.738924</v>
      </c>
      <c r="N342" s="7" t="n">
        <v>337</v>
      </c>
      <c r="O342" s="7" t="s">
        <v>24</v>
      </c>
      <c r="P342" s="8"/>
      <c r="Q342" s="13" t="s">
        <v>25</v>
      </c>
    </row>
    <row r="343" customFormat="false" ht="15" hidden="false" customHeight="false" outlineLevel="0" collapsed="false">
      <c r="A343" s="14" t="s">
        <v>491</v>
      </c>
      <c r="B343" s="14" t="s">
        <v>38</v>
      </c>
      <c r="C343" s="14" t="s">
        <v>6</v>
      </c>
      <c r="D343" s="15" t="s">
        <v>480</v>
      </c>
      <c r="E343" s="14"/>
      <c r="F343" s="15"/>
      <c r="G343" s="14" t="s">
        <v>490</v>
      </c>
      <c r="H343" s="16" t="n">
        <v>0.8</v>
      </c>
      <c r="I343" s="17" t="n">
        <v>30.154</v>
      </c>
      <c r="J343" s="18" t="n">
        <v>421854.922</v>
      </c>
      <c r="K343" s="18" t="n">
        <v>2045302.01</v>
      </c>
      <c r="L343" s="19" t="n">
        <v>18.4967175</v>
      </c>
      <c r="M343" s="19" t="n">
        <v>-69.7402581</v>
      </c>
      <c r="N343" s="14" t="n">
        <v>338</v>
      </c>
      <c r="O343" s="14" t="s">
        <v>40</v>
      </c>
      <c r="P343" s="15"/>
      <c r="Q343" s="20" t="s">
        <v>25</v>
      </c>
    </row>
    <row r="344" customFormat="false" ht="15" hidden="false" customHeight="false" outlineLevel="0" collapsed="false">
      <c r="A344" s="7" t="s">
        <v>492</v>
      </c>
      <c r="B344" s="7" t="s">
        <v>38</v>
      </c>
      <c r="C344" s="7" t="s">
        <v>6</v>
      </c>
      <c r="D344" s="8" t="s">
        <v>493</v>
      </c>
      <c r="E344" s="7"/>
      <c r="F344" s="8"/>
      <c r="G344" s="7" t="s">
        <v>490</v>
      </c>
      <c r="H344" s="9" t="n">
        <v>3.3</v>
      </c>
      <c r="I344" s="10" t="n">
        <v>29.782</v>
      </c>
      <c r="J344" s="11" t="n">
        <v>421806.071</v>
      </c>
      <c r="K344" s="11" t="n">
        <v>2045373.055</v>
      </c>
      <c r="L344" s="12" t="n">
        <v>18.4973577</v>
      </c>
      <c r="M344" s="12" t="n">
        <v>-69.7407236</v>
      </c>
      <c r="N344" s="7" t="n">
        <v>339</v>
      </c>
      <c r="O344" s="7" t="s">
        <v>40</v>
      </c>
      <c r="P344" s="8"/>
      <c r="Q344" s="13" t="s">
        <v>25</v>
      </c>
    </row>
    <row r="345" customFormat="false" ht="15" hidden="false" customHeight="false" outlineLevel="0" collapsed="false">
      <c r="A345" s="14" t="s">
        <v>494</v>
      </c>
      <c r="B345" s="14" t="s">
        <v>38</v>
      </c>
      <c r="C345" s="14" t="s">
        <v>6</v>
      </c>
      <c r="D345" s="15" t="s">
        <v>493</v>
      </c>
      <c r="E345" s="14"/>
      <c r="F345" s="15"/>
      <c r="G345" s="14" t="s">
        <v>490</v>
      </c>
      <c r="H345" s="16" t="n">
        <v>3.1</v>
      </c>
      <c r="I345" s="17" t="n">
        <v>29.442</v>
      </c>
      <c r="J345" s="18" t="n">
        <v>421806.396</v>
      </c>
      <c r="K345" s="18" t="n">
        <v>2045417.766</v>
      </c>
      <c r="L345" s="19" t="n">
        <v>18.4977618</v>
      </c>
      <c r="M345" s="19" t="n">
        <v>-69.7407223</v>
      </c>
      <c r="N345" s="14" t="n">
        <v>340</v>
      </c>
      <c r="O345" s="14" t="s">
        <v>40</v>
      </c>
      <c r="P345" s="15"/>
      <c r="Q345" s="20" t="s">
        <v>25</v>
      </c>
    </row>
    <row r="346" customFormat="false" ht="15" hidden="false" customHeight="false" outlineLevel="0" collapsed="false">
      <c r="A346" s="7" t="s">
        <v>495</v>
      </c>
      <c r="B346" s="7" t="s">
        <v>38</v>
      </c>
      <c r="C346" s="7" t="s">
        <v>6</v>
      </c>
      <c r="D346" s="8" t="s">
        <v>496</v>
      </c>
      <c r="E346" s="7"/>
      <c r="F346" s="8"/>
      <c r="G346" s="7" t="s">
        <v>54</v>
      </c>
      <c r="H346" s="9" t="n">
        <v>4.2</v>
      </c>
      <c r="I346" s="10" t="n">
        <v>29.014</v>
      </c>
      <c r="J346" s="11" t="n">
        <v>421843.348</v>
      </c>
      <c r="K346" s="11" t="n">
        <v>2045568.253</v>
      </c>
      <c r="L346" s="12" t="n">
        <v>18.4991232</v>
      </c>
      <c r="M346" s="12" t="n">
        <v>-69.7403781</v>
      </c>
      <c r="N346" s="7" t="n">
        <v>341</v>
      </c>
      <c r="O346" s="7" t="s">
        <v>40</v>
      </c>
      <c r="P346" s="8"/>
      <c r="Q346" s="13" t="s">
        <v>25</v>
      </c>
    </row>
    <row r="347" customFormat="false" ht="15" hidden="false" customHeight="false" outlineLevel="0" collapsed="false">
      <c r="A347" s="14" t="s">
        <v>497</v>
      </c>
      <c r="B347" s="14" t="s">
        <v>38</v>
      </c>
      <c r="C347" s="14" t="s">
        <v>6</v>
      </c>
      <c r="D347" s="15" t="s">
        <v>496</v>
      </c>
      <c r="E347" s="14"/>
      <c r="F347" s="15"/>
      <c r="G347" s="14" t="s">
        <v>54</v>
      </c>
      <c r="H347" s="16" t="n">
        <v>4.5</v>
      </c>
      <c r="I347" s="17" t="n">
        <v>28.15</v>
      </c>
      <c r="J347" s="18" t="n">
        <v>421879.623</v>
      </c>
      <c r="K347" s="18" t="n">
        <v>2045629.518</v>
      </c>
      <c r="L347" s="19" t="n">
        <v>18.4996782</v>
      </c>
      <c r="M347" s="19" t="n">
        <v>-69.7400369</v>
      </c>
      <c r="N347" s="14" t="n">
        <v>342</v>
      </c>
      <c r="O347" s="14" t="s">
        <v>40</v>
      </c>
      <c r="P347" s="15"/>
      <c r="Q347" s="20" t="s">
        <v>25</v>
      </c>
    </row>
    <row r="348" customFormat="false" ht="15" hidden="false" customHeight="false" outlineLevel="0" collapsed="false">
      <c r="A348" s="7" t="s">
        <v>498</v>
      </c>
      <c r="B348" s="7" t="s">
        <v>38</v>
      </c>
      <c r="C348" s="7" t="s">
        <v>6</v>
      </c>
      <c r="D348" s="8" t="s">
        <v>474</v>
      </c>
      <c r="E348" s="7"/>
      <c r="F348" s="8"/>
      <c r="G348" s="7" t="s">
        <v>54</v>
      </c>
      <c r="H348" s="9" t="n">
        <v>5.1</v>
      </c>
      <c r="I348" s="10" t="n">
        <v>30.003</v>
      </c>
      <c r="J348" s="11" t="n">
        <v>421766.716</v>
      </c>
      <c r="K348" s="11" t="n">
        <v>2045494.877</v>
      </c>
      <c r="L348" s="12" t="n">
        <v>18.4984572</v>
      </c>
      <c r="M348" s="12" t="n">
        <v>-69.7411011</v>
      </c>
      <c r="N348" s="7" t="n">
        <v>343</v>
      </c>
      <c r="O348" s="7" t="s">
        <v>40</v>
      </c>
      <c r="P348" s="8"/>
      <c r="Q348" s="13" t="s">
        <v>25</v>
      </c>
    </row>
    <row r="349" customFormat="false" ht="15" hidden="false" customHeight="false" outlineLevel="0" collapsed="false">
      <c r="A349" s="14" t="s">
        <v>499</v>
      </c>
      <c r="B349" s="14" t="s">
        <v>38</v>
      </c>
      <c r="C349" s="14" t="s">
        <v>6</v>
      </c>
      <c r="D349" s="15" t="s">
        <v>474</v>
      </c>
      <c r="E349" s="14"/>
      <c r="F349" s="15"/>
      <c r="G349" s="14" t="s">
        <v>477</v>
      </c>
      <c r="H349" s="16" t="n">
        <v>24.4</v>
      </c>
      <c r="I349" s="17" t="n">
        <v>29.905</v>
      </c>
      <c r="J349" s="18" t="n">
        <v>421773.446</v>
      </c>
      <c r="K349" s="18" t="n">
        <v>2045471.911</v>
      </c>
      <c r="L349" s="19" t="n">
        <v>18.4982499</v>
      </c>
      <c r="M349" s="19" t="n">
        <v>-69.7410365</v>
      </c>
      <c r="N349" s="14" t="n">
        <v>344</v>
      </c>
      <c r="O349" s="14" t="s">
        <v>40</v>
      </c>
      <c r="P349" s="15"/>
      <c r="Q349" s="20" t="s">
        <v>25</v>
      </c>
    </row>
    <row r="350" customFormat="false" ht="15" hidden="false" customHeight="false" outlineLevel="0" collapsed="false">
      <c r="A350" s="7" t="s">
        <v>500</v>
      </c>
      <c r="B350" s="7" t="s">
        <v>38</v>
      </c>
      <c r="C350" s="7" t="s">
        <v>6</v>
      </c>
      <c r="D350" s="8" t="s">
        <v>474</v>
      </c>
      <c r="E350" s="7"/>
      <c r="F350" s="8"/>
      <c r="G350" s="7" t="s">
        <v>54</v>
      </c>
      <c r="H350" s="9" t="n">
        <v>4.9</v>
      </c>
      <c r="I350" s="10" t="n">
        <v>30.202</v>
      </c>
      <c r="J350" s="11" t="n">
        <v>421715.843</v>
      </c>
      <c r="K350" s="11" t="n">
        <v>2045520.83</v>
      </c>
      <c r="L350" s="12" t="n">
        <v>18.4986899</v>
      </c>
      <c r="M350" s="12" t="n">
        <v>-69.741584</v>
      </c>
      <c r="N350" s="7" t="n">
        <v>345</v>
      </c>
      <c r="O350" s="7" t="s">
        <v>40</v>
      </c>
      <c r="P350" s="8"/>
      <c r="Q350" s="13" t="s">
        <v>25</v>
      </c>
    </row>
    <row r="351" customFormat="false" ht="15" hidden="false" customHeight="false" outlineLevel="0" collapsed="false">
      <c r="A351" s="14" t="s">
        <v>501</v>
      </c>
      <c r="B351" s="14" t="s">
        <v>38</v>
      </c>
      <c r="C351" s="14" t="s">
        <v>6</v>
      </c>
      <c r="D351" s="15" t="s">
        <v>474</v>
      </c>
      <c r="E351" s="14"/>
      <c r="F351" s="15"/>
      <c r="G351" s="14" t="s">
        <v>98</v>
      </c>
      <c r="H351" s="16" t="n">
        <v>5.2</v>
      </c>
      <c r="I351" s="17" t="n">
        <v>30.824</v>
      </c>
      <c r="J351" s="18" t="n">
        <v>421627.888</v>
      </c>
      <c r="K351" s="18" t="n">
        <v>2045562.983</v>
      </c>
      <c r="L351" s="19" t="n">
        <v>18.4990676</v>
      </c>
      <c r="M351" s="19" t="n">
        <v>-69.7424188</v>
      </c>
      <c r="N351" s="14" t="n">
        <v>346</v>
      </c>
      <c r="O351" s="14" t="s">
        <v>40</v>
      </c>
      <c r="P351" s="15"/>
      <c r="Q351" s="20" t="s">
        <v>25</v>
      </c>
    </row>
    <row r="352" customFormat="false" ht="15" hidden="false" customHeight="false" outlineLevel="0" collapsed="false">
      <c r="A352" s="7" t="s">
        <v>502</v>
      </c>
      <c r="B352" s="7" t="s">
        <v>38</v>
      </c>
      <c r="C352" s="7" t="s">
        <v>6</v>
      </c>
      <c r="D352" s="8" t="s">
        <v>474</v>
      </c>
      <c r="E352" s="7"/>
      <c r="F352" s="8"/>
      <c r="G352" s="7" t="s">
        <v>98</v>
      </c>
      <c r="H352" s="9" t="n">
        <v>5</v>
      </c>
      <c r="I352" s="10" t="n">
        <v>31.297</v>
      </c>
      <c r="J352" s="11" t="n">
        <v>421559.114</v>
      </c>
      <c r="K352" s="11" t="n">
        <v>2045598.093</v>
      </c>
      <c r="L352" s="12" t="n">
        <v>18.4993823</v>
      </c>
      <c r="M352" s="12" t="n">
        <v>-69.7430717</v>
      </c>
      <c r="N352" s="7" t="n">
        <v>347</v>
      </c>
      <c r="O352" s="7" t="s">
        <v>40</v>
      </c>
      <c r="P352" s="8"/>
      <c r="Q352" s="13" t="s">
        <v>25</v>
      </c>
    </row>
    <row r="353" customFormat="false" ht="15" hidden="false" customHeight="false" outlineLevel="0" collapsed="false">
      <c r="A353" s="14" t="s">
        <v>503</v>
      </c>
      <c r="B353" s="14" t="s">
        <v>21</v>
      </c>
      <c r="C353" s="14" t="s">
        <v>6</v>
      </c>
      <c r="D353" s="15" t="s">
        <v>265</v>
      </c>
      <c r="E353" s="14"/>
      <c r="F353" s="15"/>
      <c r="G353" s="14" t="s">
        <v>98</v>
      </c>
      <c r="H353" s="16" t="n">
        <v>9.1</v>
      </c>
      <c r="I353" s="17" t="n">
        <v>29.209</v>
      </c>
      <c r="J353" s="18" t="n">
        <v>421571.375</v>
      </c>
      <c r="K353" s="18" t="n">
        <v>2045667.894</v>
      </c>
      <c r="L353" s="19" t="n">
        <v>18.5000136</v>
      </c>
      <c r="M353" s="19" t="n">
        <v>-69.7429582</v>
      </c>
      <c r="N353" s="14" t="n">
        <v>348</v>
      </c>
      <c r="O353" s="14" t="s">
        <v>24</v>
      </c>
      <c r="P353" s="15"/>
      <c r="Q353" s="20" t="s">
        <v>25</v>
      </c>
    </row>
    <row r="354" customFormat="false" ht="15" hidden="false" customHeight="false" outlineLevel="0" collapsed="false">
      <c r="A354" s="7" t="s">
        <v>504</v>
      </c>
      <c r="B354" s="7" t="s">
        <v>21</v>
      </c>
      <c r="C354" s="7" t="s">
        <v>6</v>
      </c>
      <c r="D354" s="8" t="s">
        <v>265</v>
      </c>
      <c r="E354" s="7"/>
      <c r="F354" s="8"/>
      <c r="G354" s="7" t="s">
        <v>505</v>
      </c>
      <c r="H354" s="9" t="n">
        <v>4.5</v>
      </c>
      <c r="I354" s="10" t="n">
        <v>29.242</v>
      </c>
      <c r="J354" s="11" t="n">
        <v>421560.259</v>
      </c>
      <c r="K354" s="11" t="n">
        <v>2045668.845</v>
      </c>
      <c r="L354" s="12" t="n">
        <v>18.5000218</v>
      </c>
      <c r="M354" s="12" t="n">
        <v>-69.7430636</v>
      </c>
      <c r="N354" s="7" t="n">
        <v>349</v>
      </c>
      <c r="O354" s="7" t="s">
        <v>24</v>
      </c>
      <c r="P354" s="8"/>
      <c r="Q354" s="13" t="s">
        <v>25</v>
      </c>
    </row>
    <row r="355" customFormat="false" ht="15" hidden="false" customHeight="false" outlineLevel="0" collapsed="false">
      <c r="A355" s="14" t="s">
        <v>506</v>
      </c>
      <c r="B355" s="14" t="s">
        <v>38</v>
      </c>
      <c r="C355" s="14" t="s">
        <v>6</v>
      </c>
      <c r="D355" s="15" t="s">
        <v>265</v>
      </c>
      <c r="E355" s="14"/>
      <c r="F355" s="15"/>
      <c r="G355" s="14" t="s">
        <v>507</v>
      </c>
      <c r="H355" s="16" t="n">
        <v>8.1</v>
      </c>
      <c r="I355" s="17" t="n">
        <v>26.61</v>
      </c>
      <c r="J355" s="18" t="n">
        <v>421733.35</v>
      </c>
      <c r="K355" s="18" t="n">
        <v>2045993.144</v>
      </c>
      <c r="L355" s="19" t="n">
        <v>18.502959</v>
      </c>
      <c r="M355" s="19" t="n">
        <v>-69.7414366</v>
      </c>
      <c r="N355" s="14" t="n">
        <v>350</v>
      </c>
      <c r="O355" s="14" t="s">
        <v>40</v>
      </c>
      <c r="P355" s="15"/>
      <c r="Q355" s="20" t="s">
        <v>25</v>
      </c>
    </row>
    <row r="356" customFormat="false" ht="15" hidden="false" customHeight="false" outlineLevel="0" collapsed="false">
      <c r="A356" s="7" t="s">
        <v>508</v>
      </c>
      <c r="B356" s="7" t="s">
        <v>38</v>
      </c>
      <c r="C356" s="7" t="s">
        <v>6</v>
      </c>
      <c r="D356" s="8" t="s">
        <v>265</v>
      </c>
      <c r="E356" s="7"/>
      <c r="F356" s="8"/>
      <c r="G356" s="7" t="s">
        <v>509</v>
      </c>
      <c r="H356" s="9" t="n">
        <v>2.8</v>
      </c>
      <c r="I356" s="10" t="n">
        <v>26.57</v>
      </c>
      <c r="J356" s="11" t="n">
        <v>421721.815</v>
      </c>
      <c r="K356" s="11" t="n">
        <v>2045993.236</v>
      </c>
      <c r="L356" s="12" t="n">
        <v>18.5029594</v>
      </c>
      <c r="M356" s="12" t="n">
        <v>-69.7415459</v>
      </c>
      <c r="N356" s="7" t="n">
        <v>351</v>
      </c>
      <c r="O356" s="7" t="s">
        <v>40</v>
      </c>
      <c r="P356" s="8"/>
      <c r="Q356" s="13" t="s">
        <v>25</v>
      </c>
    </row>
    <row r="357" customFormat="false" ht="15" hidden="false" customHeight="false" outlineLevel="0" collapsed="false">
      <c r="A357" s="14" t="s">
        <v>510</v>
      </c>
      <c r="B357" s="14" t="s">
        <v>21</v>
      </c>
      <c r="C357" s="14" t="s">
        <v>6</v>
      </c>
      <c r="D357" s="15" t="s">
        <v>265</v>
      </c>
      <c r="E357" s="14"/>
      <c r="F357" s="15"/>
      <c r="G357" s="14" t="s">
        <v>91</v>
      </c>
      <c r="H357" s="16" t="n">
        <v>8</v>
      </c>
      <c r="I357" s="17" t="n">
        <v>27.3</v>
      </c>
      <c r="J357" s="18" t="n">
        <v>421767.485</v>
      </c>
      <c r="K357" s="18" t="n">
        <v>2046308.685</v>
      </c>
      <c r="L357" s="19" t="n">
        <v>18.505812</v>
      </c>
      <c r="M357" s="19" t="n">
        <v>-69.7411255</v>
      </c>
      <c r="N357" s="14" t="n">
        <v>352</v>
      </c>
      <c r="O357" s="14" t="s">
        <v>24</v>
      </c>
      <c r="P357" s="15"/>
      <c r="Q357" s="20" t="s">
        <v>25</v>
      </c>
    </row>
    <row r="358" customFormat="false" ht="15" hidden="false" customHeight="false" outlineLevel="0" collapsed="false">
      <c r="A358" s="7" t="s">
        <v>511</v>
      </c>
      <c r="B358" s="7" t="s">
        <v>21</v>
      </c>
      <c r="C358" s="7" t="s">
        <v>6</v>
      </c>
      <c r="D358" s="8" t="s">
        <v>265</v>
      </c>
      <c r="E358" s="7"/>
      <c r="F358" s="8"/>
      <c r="G358" s="7" t="s">
        <v>512</v>
      </c>
      <c r="H358" s="9" t="n">
        <v>5.2</v>
      </c>
      <c r="I358" s="10" t="n">
        <v>27.284</v>
      </c>
      <c r="J358" s="11" t="n">
        <v>421768.103</v>
      </c>
      <c r="K358" s="11" t="n">
        <v>2046298.38</v>
      </c>
      <c r="L358" s="12" t="n">
        <v>18.5057188</v>
      </c>
      <c r="M358" s="12" t="n">
        <v>-69.7411192</v>
      </c>
      <c r="N358" s="7" t="n">
        <v>353</v>
      </c>
      <c r="O358" s="7" t="s">
        <v>24</v>
      </c>
      <c r="P358" s="8"/>
      <c r="Q358" s="13" t="s">
        <v>25</v>
      </c>
    </row>
    <row r="359" customFormat="false" ht="15" hidden="false" customHeight="false" outlineLevel="0" collapsed="false">
      <c r="A359" s="14" t="s">
        <v>513</v>
      </c>
      <c r="B359" s="14" t="s">
        <v>38</v>
      </c>
      <c r="C359" s="14" t="s">
        <v>6</v>
      </c>
      <c r="D359" s="15" t="s">
        <v>265</v>
      </c>
      <c r="E359" s="14"/>
      <c r="F359" s="15"/>
      <c r="G359" s="14" t="s">
        <v>91</v>
      </c>
      <c r="H359" s="16" t="n">
        <v>7.4</v>
      </c>
      <c r="I359" s="17" t="n">
        <v>27.396</v>
      </c>
      <c r="J359" s="18" t="n">
        <v>421715.094</v>
      </c>
      <c r="K359" s="18" t="n">
        <v>2046289.782</v>
      </c>
      <c r="L359" s="19" t="n">
        <v>18.5056392</v>
      </c>
      <c r="M359" s="19" t="n">
        <v>-69.7416211</v>
      </c>
      <c r="N359" s="14" t="n">
        <v>354</v>
      </c>
      <c r="O359" s="14" t="s">
        <v>40</v>
      </c>
      <c r="P359" s="15"/>
      <c r="Q359" s="20" t="s">
        <v>25</v>
      </c>
    </row>
    <row r="360" customFormat="false" ht="15" hidden="false" customHeight="false" outlineLevel="0" collapsed="false">
      <c r="A360" s="7" t="s">
        <v>514</v>
      </c>
      <c r="B360" s="7" t="s">
        <v>38</v>
      </c>
      <c r="C360" s="7" t="s">
        <v>6</v>
      </c>
      <c r="D360" s="8" t="s">
        <v>265</v>
      </c>
      <c r="E360" s="7"/>
      <c r="F360" s="8"/>
      <c r="G360" s="7" t="s">
        <v>512</v>
      </c>
      <c r="H360" s="9" t="n">
        <v>5.6</v>
      </c>
      <c r="I360" s="10" t="n">
        <v>27.732</v>
      </c>
      <c r="J360" s="11" t="n">
        <v>421699.649</v>
      </c>
      <c r="K360" s="11" t="n">
        <v>2046249.215</v>
      </c>
      <c r="L360" s="12" t="n">
        <v>18.505272</v>
      </c>
      <c r="M360" s="12" t="n">
        <v>-69.7417658</v>
      </c>
      <c r="N360" s="7" t="n">
        <v>355</v>
      </c>
      <c r="O360" s="7" t="s">
        <v>40</v>
      </c>
      <c r="P360" s="8"/>
      <c r="Q360" s="13" t="s">
        <v>25</v>
      </c>
    </row>
    <row r="361" customFormat="false" ht="15" hidden="false" customHeight="false" outlineLevel="0" collapsed="false">
      <c r="A361" s="14" t="s">
        <v>515</v>
      </c>
      <c r="B361" s="14" t="s">
        <v>38</v>
      </c>
      <c r="C361" s="14" t="s">
        <v>6</v>
      </c>
      <c r="D361" s="15" t="s">
        <v>265</v>
      </c>
      <c r="E361" s="14"/>
      <c r="F361" s="15"/>
      <c r="G361" s="14" t="s">
        <v>91</v>
      </c>
      <c r="H361" s="16" t="n">
        <v>5.3</v>
      </c>
      <c r="I361" s="17" t="n">
        <v>27.807</v>
      </c>
      <c r="J361" s="18" t="n">
        <v>421682.051</v>
      </c>
      <c r="K361" s="18" t="n">
        <v>2046237.194</v>
      </c>
      <c r="L361" s="19" t="n">
        <v>18.5051627</v>
      </c>
      <c r="M361" s="19" t="n">
        <v>-69.741932</v>
      </c>
      <c r="N361" s="14" t="n">
        <v>356</v>
      </c>
      <c r="O361" s="14" t="s">
        <v>40</v>
      </c>
      <c r="P361" s="15"/>
      <c r="Q361" s="20" t="s">
        <v>25</v>
      </c>
    </row>
    <row r="362" customFormat="false" ht="15" hidden="false" customHeight="false" outlineLevel="0" collapsed="false">
      <c r="A362" s="7" t="s">
        <v>516</v>
      </c>
      <c r="B362" s="7" t="s">
        <v>38</v>
      </c>
      <c r="C362" s="7" t="s">
        <v>6</v>
      </c>
      <c r="D362" s="8" t="s">
        <v>265</v>
      </c>
      <c r="E362" s="7"/>
      <c r="F362" s="8"/>
      <c r="G362" s="7" t="s">
        <v>517</v>
      </c>
      <c r="H362" s="9" t="n">
        <v>4.1</v>
      </c>
      <c r="I362" s="10" t="n">
        <v>27.893</v>
      </c>
      <c r="J362" s="11" t="n">
        <v>421645.013</v>
      </c>
      <c r="K362" s="11" t="n">
        <v>2046166.491</v>
      </c>
      <c r="L362" s="12" t="n">
        <v>18.5045223</v>
      </c>
      <c r="M362" s="12" t="n">
        <v>-69.7422801</v>
      </c>
      <c r="N362" s="7" t="n">
        <v>357</v>
      </c>
      <c r="O362" s="7" t="s">
        <v>40</v>
      </c>
      <c r="P362" s="8"/>
      <c r="Q362" s="13" t="s">
        <v>25</v>
      </c>
    </row>
    <row r="363" customFormat="false" ht="15" hidden="false" customHeight="false" outlineLevel="0" collapsed="false">
      <c r="A363" s="14" t="s">
        <v>518</v>
      </c>
      <c r="B363" s="14" t="s">
        <v>38</v>
      </c>
      <c r="C363" s="14" t="s">
        <v>6</v>
      </c>
      <c r="D363" s="15" t="s">
        <v>265</v>
      </c>
      <c r="E363" s="14"/>
      <c r="F363" s="15"/>
      <c r="G363" s="14" t="s">
        <v>517</v>
      </c>
      <c r="H363" s="16" t="n">
        <v>5.2</v>
      </c>
      <c r="I363" s="17" t="n">
        <v>27.469</v>
      </c>
      <c r="J363" s="18" t="n">
        <v>421575.578</v>
      </c>
      <c r="K363" s="18" t="n">
        <v>2046024.726</v>
      </c>
      <c r="L363" s="19" t="n">
        <v>18.5032386</v>
      </c>
      <c r="M363" s="19" t="n">
        <v>-69.7429323</v>
      </c>
      <c r="N363" s="14" t="n">
        <v>358</v>
      </c>
      <c r="O363" s="14" t="s">
        <v>40</v>
      </c>
      <c r="P363" s="15"/>
      <c r="Q363" s="20" t="s">
        <v>25</v>
      </c>
    </row>
    <row r="364" customFormat="false" ht="15" hidden="false" customHeight="false" outlineLevel="0" collapsed="false">
      <c r="A364" s="7" t="s">
        <v>519</v>
      </c>
      <c r="B364" s="7" t="s">
        <v>38</v>
      </c>
      <c r="C364" s="7" t="s">
        <v>6</v>
      </c>
      <c r="D364" s="8" t="s">
        <v>265</v>
      </c>
      <c r="E364" s="7"/>
      <c r="F364" s="8"/>
      <c r="G364" s="7" t="s">
        <v>520</v>
      </c>
      <c r="H364" s="9" t="n">
        <v>5.2</v>
      </c>
      <c r="I364" s="10" t="n">
        <v>27.491</v>
      </c>
      <c r="J364" s="11" t="n">
        <v>421586.436</v>
      </c>
      <c r="K364" s="11" t="n">
        <v>2046018.373</v>
      </c>
      <c r="L364" s="12" t="n">
        <v>18.5031816</v>
      </c>
      <c r="M364" s="12" t="n">
        <v>-69.7428292</v>
      </c>
      <c r="N364" s="7" t="n">
        <v>359</v>
      </c>
      <c r="O364" s="7" t="s">
        <v>40</v>
      </c>
      <c r="P364" s="8"/>
      <c r="Q364" s="13" t="s">
        <v>25</v>
      </c>
    </row>
    <row r="365" customFormat="false" ht="15" hidden="false" customHeight="false" outlineLevel="0" collapsed="false">
      <c r="A365" s="14" t="s">
        <v>521</v>
      </c>
      <c r="B365" s="14" t="s">
        <v>38</v>
      </c>
      <c r="C365" s="14" t="s">
        <v>6</v>
      </c>
      <c r="D365" s="15" t="s">
        <v>265</v>
      </c>
      <c r="E365" s="14"/>
      <c r="F365" s="15"/>
      <c r="G365" s="14" t="s">
        <v>522</v>
      </c>
      <c r="H365" s="16" t="n">
        <v>7.2</v>
      </c>
      <c r="I365" s="17" t="n">
        <v>27.76</v>
      </c>
      <c r="J365" s="18" t="n">
        <v>421572.843</v>
      </c>
      <c r="K365" s="18" t="n">
        <v>2045994.399</v>
      </c>
      <c r="L365" s="19" t="n">
        <v>18.5029644</v>
      </c>
      <c r="M365" s="19" t="n">
        <v>-69.7429571</v>
      </c>
      <c r="N365" s="14" t="n">
        <v>360</v>
      </c>
      <c r="O365" s="14" t="s">
        <v>40</v>
      </c>
      <c r="P365" s="15"/>
      <c r="Q365" s="20" t="s">
        <v>25</v>
      </c>
    </row>
    <row r="366" customFormat="false" ht="15" hidden="false" customHeight="false" outlineLevel="0" collapsed="false">
      <c r="A366" s="7" t="s">
        <v>523</v>
      </c>
      <c r="B366" s="7" t="s">
        <v>38</v>
      </c>
      <c r="C366" s="7" t="s">
        <v>6</v>
      </c>
      <c r="D366" s="8" t="s">
        <v>265</v>
      </c>
      <c r="E366" s="7"/>
      <c r="F366" s="8"/>
      <c r="G366" s="7" t="s">
        <v>524</v>
      </c>
      <c r="H366" s="9" t="n">
        <v>9.5</v>
      </c>
      <c r="I366" s="10" t="n">
        <v>27.753</v>
      </c>
      <c r="J366" s="11" t="n">
        <v>421564.318</v>
      </c>
      <c r="K366" s="11" t="n">
        <v>2046000.555</v>
      </c>
      <c r="L366" s="12" t="n">
        <v>18.5030197</v>
      </c>
      <c r="M366" s="12" t="n">
        <v>-69.743038</v>
      </c>
      <c r="N366" s="7" t="n">
        <v>361</v>
      </c>
      <c r="O366" s="7" t="s">
        <v>40</v>
      </c>
      <c r="P366" s="8"/>
      <c r="Q366" s="13" t="s">
        <v>25</v>
      </c>
    </row>
    <row r="367" customFormat="false" ht="15" hidden="false" customHeight="false" outlineLevel="0" collapsed="false">
      <c r="A367" s="14" t="s">
        <v>525</v>
      </c>
      <c r="B367" s="14" t="s">
        <v>38</v>
      </c>
      <c r="C367" s="14" t="s">
        <v>6</v>
      </c>
      <c r="D367" s="15" t="s">
        <v>265</v>
      </c>
      <c r="E367" s="14"/>
      <c r="F367" s="15"/>
      <c r="G367" s="14" t="s">
        <v>526</v>
      </c>
      <c r="H367" s="16" t="n">
        <v>7.5</v>
      </c>
      <c r="I367" s="17" t="n">
        <v>28.129</v>
      </c>
      <c r="J367" s="18" t="n">
        <v>421543.385</v>
      </c>
      <c r="K367" s="18" t="n">
        <v>2045958.329</v>
      </c>
      <c r="L367" s="19" t="n">
        <v>18.5026373</v>
      </c>
      <c r="M367" s="19" t="n">
        <v>-69.7432347</v>
      </c>
      <c r="N367" s="14" t="n">
        <v>362</v>
      </c>
      <c r="O367" s="14" t="s">
        <v>40</v>
      </c>
      <c r="P367" s="15"/>
      <c r="Q367" s="20" t="s">
        <v>25</v>
      </c>
    </row>
    <row r="368" customFormat="false" ht="15" hidden="false" customHeight="false" outlineLevel="0" collapsed="false">
      <c r="A368" s="7" t="s">
        <v>527</v>
      </c>
      <c r="B368" s="7" t="s">
        <v>38</v>
      </c>
      <c r="C368" s="7" t="s">
        <v>6</v>
      </c>
      <c r="D368" s="8" t="s">
        <v>265</v>
      </c>
      <c r="E368" s="7"/>
      <c r="F368" s="8"/>
      <c r="G368" s="7" t="s">
        <v>522</v>
      </c>
      <c r="H368" s="9" t="n">
        <v>5.8</v>
      </c>
      <c r="I368" s="10" t="n">
        <v>28.209</v>
      </c>
      <c r="J368" s="11" t="n">
        <v>421552.647</v>
      </c>
      <c r="K368" s="11" t="n">
        <v>2045953.774</v>
      </c>
      <c r="L368" s="12" t="n">
        <v>18.5025965</v>
      </c>
      <c r="M368" s="12" t="n">
        <v>-69.7431468</v>
      </c>
      <c r="N368" s="7" t="n">
        <v>363</v>
      </c>
      <c r="O368" s="7" t="s">
        <v>40</v>
      </c>
      <c r="P368" s="8"/>
      <c r="Q368" s="13" t="s">
        <v>25</v>
      </c>
    </row>
    <row r="369" customFormat="false" ht="15" hidden="false" customHeight="false" outlineLevel="0" collapsed="false">
      <c r="A369" s="14" t="s">
        <v>528</v>
      </c>
      <c r="B369" s="14" t="s">
        <v>38</v>
      </c>
      <c r="C369" s="14" t="s">
        <v>6</v>
      </c>
      <c r="D369" s="15" t="s">
        <v>265</v>
      </c>
      <c r="E369" s="14"/>
      <c r="F369" s="15"/>
      <c r="G369" s="14" t="s">
        <v>529</v>
      </c>
      <c r="H369" s="16" t="n">
        <v>5.3</v>
      </c>
      <c r="I369" s="17" t="n">
        <v>28.782</v>
      </c>
      <c r="J369" s="18" t="n">
        <v>421528.22</v>
      </c>
      <c r="K369" s="18" t="n">
        <v>2045904.531</v>
      </c>
      <c r="L369" s="19" t="n">
        <v>18.5021506</v>
      </c>
      <c r="M369" s="19" t="n">
        <v>-69.7433762</v>
      </c>
      <c r="N369" s="14" t="n">
        <v>364</v>
      </c>
      <c r="O369" s="14" t="s">
        <v>40</v>
      </c>
      <c r="P369" s="15"/>
      <c r="Q369" s="20" t="s">
        <v>25</v>
      </c>
    </row>
    <row r="370" customFormat="false" ht="15" hidden="false" customHeight="false" outlineLevel="0" collapsed="false">
      <c r="A370" s="7" t="s">
        <v>530</v>
      </c>
      <c r="B370" s="7" t="s">
        <v>38</v>
      </c>
      <c r="C370" s="7" t="s">
        <v>6</v>
      </c>
      <c r="D370" s="8" t="s">
        <v>265</v>
      </c>
      <c r="E370" s="7"/>
      <c r="F370" s="8"/>
      <c r="G370" s="7" t="s">
        <v>531</v>
      </c>
      <c r="H370" s="9" t="n">
        <v>5.7</v>
      </c>
      <c r="I370" s="10" t="n">
        <v>28.803</v>
      </c>
      <c r="J370" s="11" t="n">
        <v>421516.221</v>
      </c>
      <c r="K370" s="11" t="n">
        <v>2045903.614</v>
      </c>
      <c r="L370" s="12" t="n">
        <v>18.5021418</v>
      </c>
      <c r="M370" s="12" t="n">
        <v>-69.7434899</v>
      </c>
      <c r="N370" s="7" t="n">
        <v>365</v>
      </c>
      <c r="O370" s="7" t="s">
        <v>40</v>
      </c>
      <c r="P370" s="8"/>
      <c r="Q370" s="13" t="s">
        <v>25</v>
      </c>
    </row>
    <row r="371" customFormat="false" ht="15" hidden="false" customHeight="false" outlineLevel="0" collapsed="false">
      <c r="A371" s="14" t="s">
        <v>532</v>
      </c>
      <c r="B371" s="14" t="s">
        <v>38</v>
      </c>
      <c r="C371" s="14" t="s">
        <v>6</v>
      </c>
      <c r="D371" s="15" t="s">
        <v>265</v>
      </c>
      <c r="E371" s="14"/>
      <c r="F371" s="15"/>
      <c r="G371" s="14" t="s">
        <v>533</v>
      </c>
      <c r="H371" s="16" t="n">
        <v>5.7</v>
      </c>
      <c r="I371" s="17" t="n">
        <v>29.371</v>
      </c>
      <c r="J371" s="18" t="n">
        <v>421481.642</v>
      </c>
      <c r="K371" s="18" t="n">
        <v>2045834.038</v>
      </c>
      <c r="L371" s="19" t="n">
        <v>18.5015118</v>
      </c>
      <c r="M371" s="19" t="n">
        <v>-69.7438147</v>
      </c>
      <c r="N371" s="14" t="n">
        <v>366</v>
      </c>
      <c r="O371" s="14" t="s">
        <v>40</v>
      </c>
      <c r="P371" s="15"/>
      <c r="Q371" s="20" t="s">
        <v>25</v>
      </c>
    </row>
    <row r="372" customFormat="false" ht="15" hidden="false" customHeight="false" outlineLevel="0" collapsed="false">
      <c r="A372" s="7" t="s">
        <v>534</v>
      </c>
      <c r="B372" s="7" t="s">
        <v>38</v>
      </c>
      <c r="C372" s="7" t="s">
        <v>6</v>
      </c>
      <c r="D372" s="8" t="s">
        <v>265</v>
      </c>
      <c r="E372" s="7"/>
      <c r="F372" s="8"/>
      <c r="G372" s="7" t="s">
        <v>529</v>
      </c>
      <c r="H372" s="9" t="n">
        <v>5.2</v>
      </c>
      <c r="I372" s="10" t="n">
        <v>29.472</v>
      </c>
      <c r="J372" s="11" t="n">
        <v>421476.954</v>
      </c>
      <c r="K372" s="11" t="n">
        <v>2045801.456</v>
      </c>
      <c r="L372" s="12" t="n">
        <v>18.5012171</v>
      </c>
      <c r="M372" s="12" t="n">
        <v>-69.7438578</v>
      </c>
      <c r="N372" s="7" t="n">
        <v>367</v>
      </c>
      <c r="O372" s="7" t="s">
        <v>40</v>
      </c>
      <c r="P372" s="8"/>
      <c r="Q372" s="13" t="s">
        <v>25</v>
      </c>
    </row>
    <row r="373" customFormat="false" ht="15" hidden="false" customHeight="false" outlineLevel="0" collapsed="false">
      <c r="A373" s="14" t="s">
        <v>535</v>
      </c>
      <c r="B373" s="14" t="s">
        <v>38</v>
      </c>
      <c r="C373" s="14" t="s">
        <v>6</v>
      </c>
      <c r="D373" s="15" t="s">
        <v>265</v>
      </c>
      <c r="E373" s="14"/>
      <c r="F373" s="15"/>
      <c r="G373" s="14" t="s">
        <v>533</v>
      </c>
      <c r="H373" s="16" t="n">
        <v>6.1</v>
      </c>
      <c r="I373" s="17" t="n">
        <v>29.86</v>
      </c>
      <c r="J373" s="18" t="n">
        <v>421445.999</v>
      </c>
      <c r="K373" s="18" t="n">
        <v>2045761.724</v>
      </c>
      <c r="L373" s="19" t="n">
        <v>18.5008569</v>
      </c>
      <c r="M373" s="19" t="n">
        <v>-69.7441495</v>
      </c>
      <c r="N373" s="14" t="n">
        <v>368</v>
      </c>
      <c r="O373" s="14" t="s">
        <v>40</v>
      </c>
      <c r="P373" s="15"/>
      <c r="Q373" s="20" t="s">
        <v>25</v>
      </c>
    </row>
    <row r="374" customFormat="false" ht="15" hidden="false" customHeight="false" outlineLevel="0" collapsed="false">
      <c r="A374" s="7" t="s">
        <v>536</v>
      </c>
      <c r="B374" s="7" t="s">
        <v>21</v>
      </c>
      <c r="C374" s="7" t="s">
        <v>6</v>
      </c>
      <c r="D374" s="8" t="s">
        <v>265</v>
      </c>
      <c r="E374" s="7"/>
      <c r="F374" s="8"/>
      <c r="G374" s="7" t="s">
        <v>537</v>
      </c>
      <c r="H374" s="9" t="n">
        <v>6.1</v>
      </c>
      <c r="I374" s="10" t="n">
        <v>29.344</v>
      </c>
      <c r="J374" s="11" t="n">
        <v>421388.408</v>
      </c>
      <c r="K374" s="11" t="n">
        <v>2045645.995</v>
      </c>
      <c r="L374" s="12" t="n">
        <v>18.4998089</v>
      </c>
      <c r="M374" s="12" t="n">
        <v>-69.7446905</v>
      </c>
      <c r="N374" s="7" t="n">
        <v>369</v>
      </c>
      <c r="O374" s="7" t="s">
        <v>24</v>
      </c>
      <c r="P374" s="8"/>
      <c r="Q374" s="13" t="s">
        <v>25</v>
      </c>
    </row>
    <row r="375" customFormat="false" ht="15" hidden="false" customHeight="false" outlineLevel="0" collapsed="false">
      <c r="A375" s="14" t="s">
        <v>538</v>
      </c>
      <c r="B375" s="14" t="s">
        <v>21</v>
      </c>
      <c r="C375" s="14" t="s">
        <v>6</v>
      </c>
      <c r="D375" s="15" t="s">
        <v>265</v>
      </c>
      <c r="E375" s="14"/>
      <c r="F375" s="15"/>
      <c r="G375" s="14" t="s">
        <v>539</v>
      </c>
      <c r="H375" s="16" t="n">
        <v>6.3</v>
      </c>
      <c r="I375" s="17" t="n">
        <v>29.687</v>
      </c>
      <c r="J375" s="18" t="n">
        <v>421397.309</v>
      </c>
      <c r="K375" s="18" t="n">
        <v>2045640.971</v>
      </c>
      <c r="L375" s="19" t="n">
        <v>18.4997638</v>
      </c>
      <c r="M375" s="19" t="n">
        <v>-69.744606</v>
      </c>
      <c r="N375" s="14" t="n">
        <v>370</v>
      </c>
      <c r="O375" s="14" t="s">
        <v>24</v>
      </c>
      <c r="P375" s="15"/>
      <c r="Q375" s="20" t="s">
        <v>25</v>
      </c>
    </row>
    <row r="376" customFormat="false" ht="15" hidden="false" customHeight="false" outlineLevel="0" collapsed="false">
      <c r="A376" s="7" t="s">
        <v>540</v>
      </c>
      <c r="B376" s="7" t="s">
        <v>38</v>
      </c>
      <c r="C376" s="7" t="s">
        <v>6</v>
      </c>
      <c r="D376" s="8" t="s">
        <v>265</v>
      </c>
      <c r="E376" s="7"/>
      <c r="F376" s="8"/>
      <c r="G376" s="7" t="s">
        <v>457</v>
      </c>
      <c r="H376" s="9" t="n">
        <v>6.7</v>
      </c>
      <c r="I376" s="10" t="n">
        <v>30.58</v>
      </c>
      <c r="J376" s="11" t="n">
        <v>421319.475</v>
      </c>
      <c r="K376" s="11" t="n">
        <v>2045472.533</v>
      </c>
      <c r="L376" s="12" t="n">
        <v>18.4982386</v>
      </c>
      <c r="M376" s="12" t="n">
        <v>-69.7453367</v>
      </c>
      <c r="N376" s="7" t="n">
        <v>371</v>
      </c>
      <c r="O376" s="7" t="s">
        <v>40</v>
      </c>
      <c r="P376" s="8"/>
      <c r="Q376" s="13" t="s">
        <v>25</v>
      </c>
    </row>
    <row r="377" customFormat="false" ht="15" hidden="false" customHeight="false" outlineLevel="0" collapsed="false">
      <c r="A377" s="14" t="s">
        <v>541</v>
      </c>
      <c r="B377" s="14" t="s">
        <v>38</v>
      </c>
      <c r="C377" s="14" t="s">
        <v>6</v>
      </c>
      <c r="D377" s="15" t="s">
        <v>265</v>
      </c>
      <c r="E377" s="14"/>
      <c r="F377" s="15"/>
      <c r="G377" s="14" t="s">
        <v>470</v>
      </c>
      <c r="H377" s="16" t="n">
        <v>4.2</v>
      </c>
      <c r="I377" s="17" t="n">
        <v>30.663</v>
      </c>
      <c r="J377" s="18" t="n">
        <v>421329.98</v>
      </c>
      <c r="K377" s="18" t="n">
        <v>2045471.594</v>
      </c>
      <c r="L377" s="19" t="n">
        <v>18.4982305</v>
      </c>
      <c r="M377" s="19" t="n">
        <v>-69.7452372</v>
      </c>
      <c r="N377" s="14" t="n">
        <v>372</v>
      </c>
      <c r="O377" s="14" t="s">
        <v>40</v>
      </c>
      <c r="P377" s="15"/>
      <c r="Q377" s="20" t="s">
        <v>25</v>
      </c>
    </row>
    <row r="378" customFormat="false" ht="15" hidden="false" customHeight="false" outlineLevel="0" collapsed="false">
      <c r="A378" s="7" t="s">
        <v>542</v>
      </c>
      <c r="B378" s="7" t="s">
        <v>38</v>
      </c>
      <c r="C378" s="7" t="s">
        <v>6</v>
      </c>
      <c r="D378" s="8" t="s">
        <v>104</v>
      </c>
      <c r="E378" s="7"/>
      <c r="F378" s="8"/>
      <c r="G378" s="7" t="s">
        <v>470</v>
      </c>
      <c r="H378" s="9" t="n">
        <v>4.2</v>
      </c>
      <c r="I378" s="10" t="n">
        <v>30.771</v>
      </c>
      <c r="J378" s="11" t="n">
        <v>421334.3</v>
      </c>
      <c r="K378" s="11" t="n">
        <v>2045440.547</v>
      </c>
      <c r="L378" s="12" t="n">
        <v>18.4979501</v>
      </c>
      <c r="M378" s="12" t="n">
        <v>-69.745195</v>
      </c>
      <c r="N378" s="7" t="n">
        <v>373</v>
      </c>
      <c r="O378" s="7" t="s">
        <v>40</v>
      </c>
      <c r="P378" s="8"/>
      <c r="Q378" s="13" t="s">
        <v>25</v>
      </c>
    </row>
    <row r="379" customFormat="false" ht="15" hidden="false" customHeight="false" outlineLevel="0" collapsed="false">
      <c r="A379" s="14" t="s">
        <v>543</v>
      </c>
      <c r="B379" s="14" t="s">
        <v>38</v>
      </c>
      <c r="C379" s="14" t="s">
        <v>6</v>
      </c>
      <c r="D379" s="15" t="s">
        <v>104</v>
      </c>
      <c r="E379" s="14"/>
      <c r="F379" s="15"/>
      <c r="G379" s="14" t="s">
        <v>440</v>
      </c>
      <c r="H379" s="16" t="n">
        <v>24.6</v>
      </c>
      <c r="I379" s="17" t="n">
        <v>30.884</v>
      </c>
      <c r="J379" s="18" t="n">
        <v>421332.684</v>
      </c>
      <c r="K379" s="18" t="n">
        <v>2045406.376</v>
      </c>
      <c r="L379" s="19" t="n">
        <v>18.4976412</v>
      </c>
      <c r="M379" s="19" t="n">
        <v>-69.745209</v>
      </c>
      <c r="N379" s="14" t="n">
        <v>374</v>
      </c>
      <c r="O379" s="14" t="s">
        <v>40</v>
      </c>
      <c r="P379" s="15"/>
      <c r="Q379" s="20" t="s">
        <v>25</v>
      </c>
    </row>
    <row r="380" customFormat="false" ht="15" hidden="false" customHeight="false" outlineLevel="0" collapsed="false">
      <c r="A380" s="7" t="s">
        <v>544</v>
      </c>
      <c r="B380" s="7" t="s">
        <v>38</v>
      </c>
      <c r="C380" s="7" t="s">
        <v>6</v>
      </c>
      <c r="D380" s="8" t="s">
        <v>265</v>
      </c>
      <c r="E380" s="7"/>
      <c r="F380" s="8"/>
      <c r="G380" s="7" t="s">
        <v>440</v>
      </c>
      <c r="H380" s="9" t="n">
        <v>15.9</v>
      </c>
      <c r="I380" s="10" t="n">
        <v>31.117</v>
      </c>
      <c r="J380" s="11" t="n">
        <v>421328.766</v>
      </c>
      <c r="K380" s="11" t="n">
        <v>2045376.995</v>
      </c>
      <c r="L380" s="12" t="n">
        <v>18.4973756</v>
      </c>
      <c r="M380" s="12" t="n">
        <v>-69.745245</v>
      </c>
      <c r="N380" s="7" t="n">
        <v>375</v>
      </c>
      <c r="O380" s="7" t="s">
        <v>40</v>
      </c>
      <c r="P380" s="8"/>
      <c r="Q380" s="13" t="s">
        <v>25</v>
      </c>
    </row>
    <row r="381" customFormat="false" ht="15" hidden="false" customHeight="false" outlineLevel="0" collapsed="false">
      <c r="A381" s="14" t="s">
        <v>545</v>
      </c>
      <c r="B381" s="14" t="s">
        <v>38</v>
      </c>
      <c r="C381" s="14" t="s">
        <v>6</v>
      </c>
      <c r="D381" s="15" t="s">
        <v>265</v>
      </c>
      <c r="E381" s="14"/>
      <c r="F381" s="15"/>
      <c r="G381" s="14" t="s">
        <v>440</v>
      </c>
      <c r="H381" s="16" t="n">
        <v>4.5</v>
      </c>
      <c r="I381" s="17" t="n">
        <v>31.558</v>
      </c>
      <c r="J381" s="18" t="n">
        <v>421307.364</v>
      </c>
      <c r="K381" s="18" t="n">
        <v>2045342.21</v>
      </c>
      <c r="L381" s="19" t="n">
        <v>18.4970604</v>
      </c>
      <c r="M381" s="19" t="n">
        <v>-69.7454463</v>
      </c>
      <c r="N381" s="14" t="n">
        <v>376</v>
      </c>
      <c r="O381" s="14" t="s">
        <v>40</v>
      </c>
      <c r="P381" s="15"/>
      <c r="Q381" s="20" t="s">
        <v>25</v>
      </c>
    </row>
    <row r="382" customFormat="false" ht="15" hidden="false" customHeight="false" outlineLevel="0" collapsed="false">
      <c r="A382" s="7" t="s">
        <v>546</v>
      </c>
      <c r="B382" s="7" t="s">
        <v>38</v>
      </c>
      <c r="C382" s="7" t="s">
        <v>6</v>
      </c>
      <c r="D382" s="8" t="s">
        <v>265</v>
      </c>
      <c r="E382" s="7"/>
      <c r="F382" s="8"/>
      <c r="G382" s="7" t="s">
        <v>273</v>
      </c>
      <c r="H382" s="9" t="n">
        <v>12</v>
      </c>
      <c r="I382" s="10" t="n">
        <v>32.264</v>
      </c>
      <c r="J382" s="11" t="n">
        <v>421147.273</v>
      </c>
      <c r="K382" s="11" t="n">
        <v>2044998.804</v>
      </c>
      <c r="L382" s="12" t="n">
        <v>18.4939509</v>
      </c>
      <c r="M382" s="12" t="n">
        <v>-69.7469493</v>
      </c>
      <c r="N382" s="7" t="n">
        <v>377</v>
      </c>
      <c r="O382" s="7" t="s">
        <v>40</v>
      </c>
      <c r="P382" s="8"/>
      <c r="Q382" s="13" t="s">
        <v>25</v>
      </c>
    </row>
    <row r="383" customFormat="false" ht="15" hidden="false" customHeight="false" outlineLevel="0" collapsed="false">
      <c r="A383" s="14" t="s">
        <v>547</v>
      </c>
      <c r="B383" s="14" t="s">
        <v>21</v>
      </c>
      <c r="C383" s="14" t="s">
        <v>6</v>
      </c>
      <c r="D383" s="15" t="s">
        <v>265</v>
      </c>
      <c r="E383" s="14"/>
      <c r="F383" s="15"/>
      <c r="G383" s="14" t="s">
        <v>184</v>
      </c>
      <c r="H383" s="16" t="n">
        <v>5.7</v>
      </c>
      <c r="I383" s="17" t="n">
        <v>32.194</v>
      </c>
      <c r="J383" s="18" t="n">
        <v>421162.364</v>
      </c>
      <c r="K383" s="18" t="n">
        <v>2044991.836</v>
      </c>
      <c r="L383" s="19" t="n">
        <v>18.4938885</v>
      </c>
      <c r="M383" s="19" t="n">
        <v>-69.7468061</v>
      </c>
      <c r="N383" s="14" t="n">
        <v>378</v>
      </c>
      <c r="O383" s="14" t="s">
        <v>24</v>
      </c>
      <c r="P383" s="15"/>
      <c r="Q383" s="20" t="s">
        <v>25</v>
      </c>
    </row>
    <row r="384" customFormat="false" ht="15" hidden="false" customHeight="false" outlineLevel="0" collapsed="false">
      <c r="A384" s="7" t="s">
        <v>548</v>
      </c>
      <c r="B384" s="7" t="s">
        <v>21</v>
      </c>
      <c r="C384" s="7" t="s">
        <v>6</v>
      </c>
      <c r="D384" s="8" t="s">
        <v>265</v>
      </c>
      <c r="E384" s="7"/>
      <c r="F384" s="8"/>
      <c r="G384" s="7" t="s">
        <v>273</v>
      </c>
      <c r="H384" s="9" t="n">
        <v>1.7</v>
      </c>
      <c r="I384" s="10" t="n">
        <v>32.155</v>
      </c>
      <c r="J384" s="11" t="n">
        <v>421138.549</v>
      </c>
      <c r="K384" s="11" t="n">
        <v>2045004.153</v>
      </c>
      <c r="L384" s="12" t="n">
        <v>18.4939989</v>
      </c>
      <c r="M384" s="12" t="n">
        <v>-69.7470321</v>
      </c>
      <c r="N384" s="7" t="n">
        <v>379</v>
      </c>
      <c r="O384" s="7" t="s">
        <v>24</v>
      </c>
      <c r="P384" s="8"/>
      <c r="Q384" s="13" t="s">
        <v>25</v>
      </c>
    </row>
    <row r="385" customFormat="false" ht="15" hidden="false" customHeight="false" outlineLevel="0" collapsed="false">
      <c r="A385" s="14" t="s">
        <v>549</v>
      </c>
      <c r="B385" s="14" t="s">
        <v>38</v>
      </c>
      <c r="C385" s="14" t="s">
        <v>6</v>
      </c>
      <c r="D385" s="15" t="s">
        <v>265</v>
      </c>
      <c r="E385" s="14"/>
      <c r="F385" s="15"/>
      <c r="G385" s="14" t="s">
        <v>184</v>
      </c>
      <c r="H385" s="16" t="n">
        <v>6.4</v>
      </c>
      <c r="I385" s="17" t="n">
        <v>32.677</v>
      </c>
      <c r="J385" s="18" t="n">
        <v>421111.847</v>
      </c>
      <c r="K385" s="18" t="n">
        <v>2044937.867</v>
      </c>
      <c r="L385" s="19" t="n">
        <v>18.4933989</v>
      </c>
      <c r="M385" s="19" t="n">
        <v>-69.7472825</v>
      </c>
      <c r="N385" s="14" t="n">
        <v>380</v>
      </c>
      <c r="O385" s="14" t="s">
        <v>40</v>
      </c>
      <c r="P385" s="15"/>
      <c r="Q385" s="20" t="s">
        <v>25</v>
      </c>
    </row>
    <row r="386" customFormat="false" ht="15" hidden="false" customHeight="false" outlineLevel="0" collapsed="false">
      <c r="A386" s="7" t="s">
        <v>550</v>
      </c>
      <c r="B386" s="7" t="s">
        <v>38</v>
      </c>
      <c r="C386" s="7" t="s">
        <v>6</v>
      </c>
      <c r="D386" s="8" t="s">
        <v>265</v>
      </c>
      <c r="E386" s="7"/>
      <c r="F386" s="8"/>
      <c r="G386" s="7" t="s">
        <v>522</v>
      </c>
      <c r="H386" s="9" t="n">
        <v>8.9</v>
      </c>
      <c r="I386" s="10" t="n">
        <v>27.39</v>
      </c>
      <c r="J386" s="11" t="n">
        <v>421593.887</v>
      </c>
      <c r="K386" s="11" t="n">
        <v>2045998.946</v>
      </c>
      <c r="L386" s="12" t="n">
        <v>18.5030063</v>
      </c>
      <c r="M386" s="12" t="n">
        <v>-69.7427579</v>
      </c>
      <c r="N386" s="7" t="n">
        <v>381</v>
      </c>
      <c r="O386" s="7" t="s">
        <v>40</v>
      </c>
      <c r="P386" s="8"/>
      <c r="Q386" s="13" t="s">
        <v>25</v>
      </c>
    </row>
    <row r="387" customFormat="false" ht="15" hidden="false" customHeight="false" outlineLevel="0" collapsed="false">
      <c r="A387" s="14" t="s">
        <v>551</v>
      </c>
      <c r="B387" s="14" t="s">
        <v>21</v>
      </c>
      <c r="C387" s="14" t="s">
        <v>6</v>
      </c>
      <c r="D387" s="15" t="s">
        <v>265</v>
      </c>
      <c r="E387" s="14"/>
      <c r="F387" s="15"/>
      <c r="G387" s="14" t="s">
        <v>529</v>
      </c>
      <c r="H387" s="16" t="n">
        <v>7.4</v>
      </c>
      <c r="I387" s="17" t="n">
        <v>26.773</v>
      </c>
      <c r="J387" s="18" t="n">
        <v>421640.038</v>
      </c>
      <c r="K387" s="18" t="n">
        <v>2045978.044</v>
      </c>
      <c r="L387" s="19" t="n">
        <v>18.5028191</v>
      </c>
      <c r="M387" s="19" t="n">
        <v>-69.7423199</v>
      </c>
      <c r="N387" s="14" t="n">
        <v>382</v>
      </c>
      <c r="O387" s="14" t="s">
        <v>24</v>
      </c>
      <c r="P387" s="15"/>
      <c r="Q387" s="20" t="s">
        <v>25</v>
      </c>
    </row>
    <row r="388" customFormat="false" ht="15" hidden="false" customHeight="false" outlineLevel="0" collapsed="false">
      <c r="A388" s="7" t="s">
        <v>552</v>
      </c>
      <c r="B388" s="7" t="s">
        <v>21</v>
      </c>
      <c r="C388" s="7" t="s">
        <v>6</v>
      </c>
      <c r="D388" s="8" t="s">
        <v>265</v>
      </c>
      <c r="E388" s="7"/>
      <c r="F388" s="8"/>
      <c r="G388" s="7" t="s">
        <v>553</v>
      </c>
      <c r="H388" s="9" t="n">
        <v>2</v>
      </c>
      <c r="I388" s="10" t="n">
        <v>26.769</v>
      </c>
      <c r="J388" s="11" t="n">
        <v>421643.331</v>
      </c>
      <c r="K388" s="11" t="n">
        <v>2045984.811</v>
      </c>
      <c r="L388" s="12" t="n">
        <v>18.5028804</v>
      </c>
      <c r="M388" s="12" t="n">
        <v>-69.742289</v>
      </c>
      <c r="N388" s="7" t="n">
        <v>383</v>
      </c>
      <c r="O388" s="7" t="s">
        <v>24</v>
      </c>
      <c r="P388" s="8"/>
      <c r="Q388" s="13" t="s">
        <v>25</v>
      </c>
    </row>
    <row r="389" customFormat="false" ht="15" hidden="false" customHeight="false" outlineLevel="0" collapsed="false">
      <c r="A389" s="14" t="s">
        <v>554</v>
      </c>
      <c r="B389" s="14" t="s">
        <v>38</v>
      </c>
      <c r="C389" s="14" t="s">
        <v>6</v>
      </c>
      <c r="D389" s="15" t="s">
        <v>555</v>
      </c>
      <c r="E389" s="14"/>
      <c r="F389" s="15"/>
      <c r="G389" s="14" t="s">
        <v>517</v>
      </c>
      <c r="H389" s="16" t="n">
        <v>1.6</v>
      </c>
      <c r="I389" s="17" t="n">
        <v>28.093</v>
      </c>
      <c r="J389" s="18" t="n">
        <v>421552.203</v>
      </c>
      <c r="K389" s="18" t="n">
        <v>2046026.833</v>
      </c>
      <c r="L389" s="19" t="n">
        <v>18.5032567</v>
      </c>
      <c r="M389" s="19" t="n">
        <v>-69.7431538</v>
      </c>
      <c r="N389" s="14" t="n">
        <v>384</v>
      </c>
      <c r="O389" s="14" t="s">
        <v>40</v>
      </c>
      <c r="P389" s="15"/>
      <c r="Q389" s="20" t="s">
        <v>25</v>
      </c>
    </row>
    <row r="390" customFormat="false" ht="15" hidden="false" customHeight="false" outlineLevel="0" collapsed="false">
      <c r="A390" s="7" t="s">
        <v>556</v>
      </c>
      <c r="B390" s="7" t="s">
        <v>38</v>
      </c>
      <c r="C390" s="7" t="s">
        <v>6</v>
      </c>
      <c r="D390" s="8" t="s">
        <v>555</v>
      </c>
      <c r="E390" s="7"/>
      <c r="F390" s="8"/>
      <c r="G390" s="7" t="s">
        <v>517</v>
      </c>
      <c r="H390" s="9" t="n">
        <v>9.3</v>
      </c>
      <c r="I390" s="10" t="n">
        <v>28.057</v>
      </c>
      <c r="J390" s="11" t="n">
        <v>421548.102</v>
      </c>
      <c r="K390" s="11" t="n">
        <v>2046020.167</v>
      </c>
      <c r="L390" s="12" t="n">
        <v>18.5031963</v>
      </c>
      <c r="M390" s="12" t="n">
        <v>-69.7431924</v>
      </c>
      <c r="N390" s="7" t="n">
        <v>385</v>
      </c>
      <c r="O390" s="7" t="s">
        <v>40</v>
      </c>
      <c r="P390" s="8"/>
      <c r="Q390" s="13" t="s">
        <v>25</v>
      </c>
    </row>
    <row r="391" customFormat="false" ht="15" hidden="false" customHeight="false" outlineLevel="0" collapsed="false">
      <c r="A391" s="14" t="s">
        <v>557</v>
      </c>
      <c r="B391" s="14" t="s">
        <v>38</v>
      </c>
      <c r="C391" s="14" t="s">
        <v>6</v>
      </c>
      <c r="D391" s="15" t="s">
        <v>555</v>
      </c>
      <c r="E391" s="14"/>
      <c r="F391" s="15"/>
      <c r="G391" s="14" t="s">
        <v>517</v>
      </c>
      <c r="H391" s="16" t="n">
        <v>1.7</v>
      </c>
      <c r="I391" s="17" t="n">
        <v>29.552</v>
      </c>
      <c r="J391" s="18" t="n">
        <v>421478.846</v>
      </c>
      <c r="K391" s="18" t="n">
        <v>2046060.065</v>
      </c>
      <c r="L391" s="19" t="n">
        <v>18.5035543</v>
      </c>
      <c r="M391" s="19" t="n">
        <v>-69.74385</v>
      </c>
      <c r="N391" s="14" t="n">
        <v>386</v>
      </c>
      <c r="O391" s="14" t="s">
        <v>40</v>
      </c>
      <c r="P391" s="15"/>
      <c r="Q391" s="20" t="s">
        <v>25</v>
      </c>
    </row>
    <row r="392" customFormat="false" ht="15" hidden="false" customHeight="false" outlineLevel="0" collapsed="false">
      <c r="A392" s="7" t="s">
        <v>558</v>
      </c>
      <c r="B392" s="7" t="s">
        <v>38</v>
      </c>
      <c r="C392" s="7" t="s">
        <v>6</v>
      </c>
      <c r="D392" s="8" t="s">
        <v>555</v>
      </c>
      <c r="E392" s="7"/>
      <c r="F392" s="8"/>
      <c r="G392" s="7" t="s">
        <v>559</v>
      </c>
      <c r="H392" s="9" t="n">
        <v>5.2</v>
      </c>
      <c r="I392" s="10" t="n">
        <v>29.619</v>
      </c>
      <c r="J392" s="11" t="n">
        <v>421470.479</v>
      </c>
      <c r="K392" s="11" t="n">
        <v>2046052.96</v>
      </c>
      <c r="L392" s="12" t="n">
        <v>18.5034898</v>
      </c>
      <c r="M392" s="12" t="n">
        <v>-69.743929</v>
      </c>
      <c r="N392" s="7" t="n">
        <v>387</v>
      </c>
      <c r="O392" s="7" t="s">
        <v>40</v>
      </c>
      <c r="P392" s="8"/>
      <c r="Q392" s="13" t="s">
        <v>25</v>
      </c>
    </row>
    <row r="393" customFormat="false" ht="15" hidden="false" customHeight="false" outlineLevel="0" collapsed="false">
      <c r="A393" s="14" t="s">
        <v>560</v>
      </c>
      <c r="B393" s="14" t="s">
        <v>38</v>
      </c>
      <c r="C393" s="14" t="s">
        <v>6</v>
      </c>
      <c r="D393" s="15" t="s">
        <v>555</v>
      </c>
      <c r="E393" s="14"/>
      <c r="F393" s="15"/>
      <c r="G393" s="14" t="s">
        <v>561</v>
      </c>
      <c r="H393" s="16" t="n">
        <v>5.2</v>
      </c>
      <c r="I393" s="17" t="n">
        <v>30.274</v>
      </c>
      <c r="J393" s="18" t="n">
        <v>421419.561</v>
      </c>
      <c r="K393" s="18" t="n">
        <v>2046076.043</v>
      </c>
      <c r="L393" s="19" t="n">
        <v>18.5036965</v>
      </c>
      <c r="M393" s="19" t="n">
        <v>-69.7444122</v>
      </c>
      <c r="N393" s="14" t="n">
        <v>388</v>
      </c>
      <c r="O393" s="14" t="s">
        <v>40</v>
      </c>
      <c r="P393" s="15"/>
      <c r="Q393" s="20" t="s">
        <v>25</v>
      </c>
    </row>
    <row r="394" customFormat="false" ht="15" hidden="false" customHeight="false" outlineLevel="0" collapsed="false">
      <c r="A394" s="7" t="s">
        <v>562</v>
      </c>
      <c r="B394" s="7" t="s">
        <v>38</v>
      </c>
      <c r="C394" s="7" t="s">
        <v>6</v>
      </c>
      <c r="D394" s="8" t="s">
        <v>555</v>
      </c>
      <c r="E394" s="7"/>
      <c r="F394" s="8"/>
      <c r="G394" s="7" t="s">
        <v>517</v>
      </c>
      <c r="H394" s="9" t="n">
        <v>1.9</v>
      </c>
      <c r="I394" s="10" t="n">
        <v>30.352</v>
      </c>
      <c r="J394" s="11" t="n">
        <v>421424.225</v>
      </c>
      <c r="K394" s="11" t="n">
        <v>2046084.781</v>
      </c>
      <c r="L394" s="12" t="n">
        <v>18.5037757</v>
      </c>
      <c r="M394" s="12" t="n">
        <v>-69.7443684</v>
      </c>
      <c r="N394" s="7" t="n">
        <v>389</v>
      </c>
      <c r="O394" s="7" t="s">
        <v>40</v>
      </c>
      <c r="P394" s="8"/>
      <c r="Q394" s="13" t="s">
        <v>25</v>
      </c>
    </row>
    <row r="395" customFormat="false" ht="15" hidden="false" customHeight="false" outlineLevel="0" collapsed="false">
      <c r="A395" s="14" t="s">
        <v>563</v>
      </c>
      <c r="B395" s="14" t="s">
        <v>38</v>
      </c>
      <c r="C395" s="14" t="s">
        <v>6</v>
      </c>
      <c r="D395" s="15" t="s">
        <v>555</v>
      </c>
      <c r="E395" s="14"/>
      <c r="F395" s="15"/>
      <c r="G395" s="14" t="s">
        <v>561</v>
      </c>
      <c r="H395" s="16" t="n">
        <v>4.9</v>
      </c>
      <c r="I395" s="17" t="n">
        <v>30.238</v>
      </c>
      <c r="J395" s="18" t="n">
        <v>421345.394</v>
      </c>
      <c r="K395" s="18" t="n">
        <v>2046109.51</v>
      </c>
      <c r="L395" s="19" t="n">
        <v>18.5039962</v>
      </c>
      <c r="M395" s="19" t="n">
        <v>-69.7451161</v>
      </c>
      <c r="N395" s="14" t="n">
        <v>390</v>
      </c>
      <c r="O395" s="14" t="s">
        <v>40</v>
      </c>
      <c r="P395" s="15"/>
      <c r="Q395" s="20" t="s">
        <v>25</v>
      </c>
    </row>
    <row r="396" customFormat="false" ht="15" hidden="false" customHeight="false" outlineLevel="0" collapsed="false">
      <c r="A396" s="7" t="s">
        <v>564</v>
      </c>
      <c r="B396" s="7" t="s">
        <v>21</v>
      </c>
      <c r="C396" s="7" t="s">
        <v>6</v>
      </c>
      <c r="D396" s="8" t="s">
        <v>555</v>
      </c>
      <c r="E396" s="7"/>
      <c r="F396" s="8"/>
      <c r="G396" s="7" t="s">
        <v>565</v>
      </c>
      <c r="H396" s="9" t="n">
        <v>2.1</v>
      </c>
      <c r="I396" s="10" t="n">
        <v>29.582</v>
      </c>
      <c r="J396" s="11" t="n">
        <v>421292.99</v>
      </c>
      <c r="K396" s="11" t="n">
        <v>2046144.261</v>
      </c>
      <c r="L396" s="12" t="n">
        <v>18.5043083</v>
      </c>
      <c r="M396" s="12" t="n">
        <v>-69.7456139</v>
      </c>
      <c r="N396" s="7" t="n">
        <v>391</v>
      </c>
      <c r="O396" s="7" t="s">
        <v>24</v>
      </c>
      <c r="P396" s="8"/>
      <c r="Q396" s="13" t="s">
        <v>25</v>
      </c>
    </row>
    <row r="397" customFormat="false" ht="15" hidden="false" customHeight="false" outlineLevel="0" collapsed="false">
      <c r="A397" s="14" t="s">
        <v>566</v>
      </c>
      <c r="B397" s="14" t="s">
        <v>21</v>
      </c>
      <c r="C397" s="14" t="s">
        <v>6</v>
      </c>
      <c r="D397" s="15" t="s">
        <v>555</v>
      </c>
      <c r="E397" s="14"/>
      <c r="F397" s="15"/>
      <c r="G397" s="14" t="s">
        <v>561</v>
      </c>
      <c r="H397" s="16" t="n">
        <v>4.8</v>
      </c>
      <c r="I397" s="17" t="n">
        <v>29.504</v>
      </c>
      <c r="J397" s="18" t="n">
        <v>421288.733</v>
      </c>
      <c r="K397" s="18" t="n">
        <v>2046135.287</v>
      </c>
      <c r="L397" s="19" t="n">
        <v>18.5042271</v>
      </c>
      <c r="M397" s="19" t="n">
        <v>-69.7456538</v>
      </c>
      <c r="N397" s="14" t="n">
        <v>392</v>
      </c>
      <c r="O397" s="14" t="s">
        <v>24</v>
      </c>
      <c r="P397" s="15"/>
      <c r="Q397" s="20" t="s">
        <v>25</v>
      </c>
    </row>
    <row r="398" customFormat="false" ht="15" hidden="false" customHeight="false" outlineLevel="0" collapsed="false">
      <c r="A398" s="7" t="s">
        <v>567</v>
      </c>
      <c r="B398" s="7" t="s">
        <v>38</v>
      </c>
      <c r="C398" s="7" t="s">
        <v>6</v>
      </c>
      <c r="D398" s="8" t="s">
        <v>555</v>
      </c>
      <c r="E398" s="7"/>
      <c r="F398" s="8"/>
      <c r="G398" s="7" t="s">
        <v>565</v>
      </c>
      <c r="H398" s="9" t="n">
        <v>2.2</v>
      </c>
      <c r="I398" s="10" t="n">
        <v>30.11</v>
      </c>
      <c r="J398" s="11" t="n">
        <v>421201.445</v>
      </c>
      <c r="K398" s="11" t="n">
        <v>2046185.92</v>
      </c>
      <c r="L398" s="12" t="n">
        <v>18.5046814</v>
      </c>
      <c r="M398" s="12" t="n">
        <v>-69.7464827</v>
      </c>
      <c r="N398" s="7" t="n">
        <v>393</v>
      </c>
      <c r="O398" s="7" t="s">
        <v>40</v>
      </c>
      <c r="P398" s="8"/>
      <c r="Q398" s="13" t="s">
        <v>25</v>
      </c>
    </row>
    <row r="399" customFormat="false" ht="15" hidden="false" customHeight="false" outlineLevel="0" collapsed="false">
      <c r="A399" s="14" t="s">
        <v>568</v>
      </c>
      <c r="B399" s="14" t="s">
        <v>38</v>
      </c>
      <c r="C399" s="14" t="s">
        <v>6</v>
      </c>
      <c r="D399" s="15" t="s">
        <v>555</v>
      </c>
      <c r="E399" s="14"/>
      <c r="F399" s="15"/>
      <c r="G399" s="14" t="s">
        <v>561</v>
      </c>
      <c r="H399" s="16" t="n">
        <v>5.4</v>
      </c>
      <c r="I399" s="17" t="n">
        <v>30.493</v>
      </c>
      <c r="J399" s="18" t="n">
        <v>421197.473</v>
      </c>
      <c r="K399" s="18" t="n">
        <v>2046177.497</v>
      </c>
      <c r="L399" s="19" t="n">
        <v>18.5046051</v>
      </c>
      <c r="M399" s="19" t="n">
        <v>-69.74652</v>
      </c>
      <c r="N399" s="14" t="n">
        <v>394</v>
      </c>
      <c r="O399" s="14" t="s">
        <v>40</v>
      </c>
      <c r="P399" s="15"/>
      <c r="Q399" s="20" t="s">
        <v>25</v>
      </c>
    </row>
    <row r="400" customFormat="false" ht="15" hidden="false" customHeight="false" outlineLevel="0" collapsed="false">
      <c r="A400" s="7" t="s">
        <v>569</v>
      </c>
      <c r="B400" s="7" t="s">
        <v>38</v>
      </c>
      <c r="C400" s="7" t="s">
        <v>6</v>
      </c>
      <c r="D400" s="8" t="s">
        <v>570</v>
      </c>
      <c r="E400" s="7"/>
      <c r="F400" s="8"/>
      <c r="G400" s="7" t="s">
        <v>571</v>
      </c>
      <c r="H400" s="9" t="n">
        <v>8</v>
      </c>
      <c r="I400" s="10" t="n">
        <v>30.144</v>
      </c>
      <c r="J400" s="11" t="n">
        <v>421161.046</v>
      </c>
      <c r="K400" s="11" t="n">
        <v>2046252.351</v>
      </c>
      <c r="L400" s="12" t="n">
        <v>18.5052802</v>
      </c>
      <c r="M400" s="12" t="n">
        <v>-69.746868</v>
      </c>
      <c r="N400" s="7" t="n">
        <v>395</v>
      </c>
      <c r="O400" s="7" t="s">
        <v>40</v>
      </c>
      <c r="P400" s="8"/>
      <c r="Q400" s="13" t="s">
        <v>25</v>
      </c>
    </row>
    <row r="401" customFormat="false" ht="15" hidden="false" customHeight="false" outlineLevel="0" collapsed="false">
      <c r="A401" s="14" t="s">
        <v>572</v>
      </c>
      <c r="B401" s="14" t="s">
        <v>38</v>
      </c>
      <c r="C401" s="14" t="s">
        <v>6</v>
      </c>
      <c r="D401" s="15" t="s">
        <v>570</v>
      </c>
      <c r="E401" s="14"/>
      <c r="F401" s="15"/>
      <c r="G401" s="14" t="s">
        <v>573</v>
      </c>
      <c r="H401" s="16" t="n">
        <v>5.4</v>
      </c>
      <c r="I401" s="17" t="n">
        <v>29.748</v>
      </c>
      <c r="J401" s="18" t="n">
        <v>421182.954</v>
      </c>
      <c r="K401" s="18" t="n">
        <v>2046337.286</v>
      </c>
      <c r="L401" s="19" t="n">
        <v>18.5060487</v>
      </c>
      <c r="M401" s="19" t="n">
        <v>-69.7466638</v>
      </c>
      <c r="N401" s="14" t="n">
        <v>396</v>
      </c>
      <c r="O401" s="14" t="s">
        <v>40</v>
      </c>
      <c r="P401" s="15"/>
      <c r="Q401" s="20" t="s">
        <v>25</v>
      </c>
    </row>
    <row r="402" customFormat="false" ht="15" hidden="false" customHeight="false" outlineLevel="0" collapsed="false">
      <c r="A402" s="7" t="s">
        <v>574</v>
      </c>
      <c r="B402" s="7" t="s">
        <v>38</v>
      </c>
      <c r="C402" s="7" t="s">
        <v>6</v>
      </c>
      <c r="D402" s="8" t="s">
        <v>570</v>
      </c>
      <c r="E402" s="7"/>
      <c r="F402" s="8"/>
      <c r="G402" s="7" t="s">
        <v>573</v>
      </c>
      <c r="H402" s="9" t="n">
        <v>17.6</v>
      </c>
      <c r="I402" s="10" t="n">
        <v>29.702</v>
      </c>
      <c r="J402" s="11" t="n">
        <v>421170.511</v>
      </c>
      <c r="K402" s="11" t="n">
        <v>2046337.677</v>
      </c>
      <c r="L402" s="12" t="n">
        <v>18.5060517</v>
      </c>
      <c r="M402" s="12" t="n">
        <v>-69.7467816</v>
      </c>
      <c r="N402" s="7" t="n">
        <v>397</v>
      </c>
      <c r="O402" s="7" t="s">
        <v>40</v>
      </c>
      <c r="P402" s="8"/>
      <c r="Q402" s="13" t="s">
        <v>25</v>
      </c>
    </row>
    <row r="403" customFormat="false" ht="15" hidden="false" customHeight="false" outlineLevel="0" collapsed="false">
      <c r="A403" s="14" t="s">
        <v>575</v>
      </c>
      <c r="B403" s="14" t="s">
        <v>38</v>
      </c>
      <c r="C403" s="14" t="s">
        <v>6</v>
      </c>
      <c r="D403" s="15" t="s">
        <v>576</v>
      </c>
      <c r="E403" s="14"/>
      <c r="F403" s="15"/>
      <c r="G403" s="14" t="s">
        <v>573</v>
      </c>
      <c r="H403" s="16" t="n">
        <v>3.6</v>
      </c>
      <c r="I403" s="17" t="n">
        <v>29.617</v>
      </c>
      <c r="J403" s="18" t="n">
        <v>421201.096</v>
      </c>
      <c r="K403" s="18" t="n">
        <v>2046343.857</v>
      </c>
      <c r="L403" s="19" t="n">
        <v>18.5061087</v>
      </c>
      <c r="M403" s="19" t="n">
        <v>-69.7464922</v>
      </c>
      <c r="N403" s="14" t="n">
        <v>398</v>
      </c>
      <c r="O403" s="14" t="s">
        <v>40</v>
      </c>
      <c r="P403" s="15"/>
      <c r="Q403" s="20" t="s">
        <v>25</v>
      </c>
    </row>
    <row r="404" customFormat="false" ht="15" hidden="false" customHeight="false" outlineLevel="0" collapsed="false">
      <c r="A404" s="7" t="s">
        <v>577</v>
      </c>
      <c r="B404" s="7" t="s">
        <v>38</v>
      </c>
      <c r="C404" s="7" t="s">
        <v>6</v>
      </c>
      <c r="D404" s="8" t="s">
        <v>576</v>
      </c>
      <c r="E404" s="7"/>
      <c r="F404" s="8"/>
      <c r="G404" s="7" t="s">
        <v>565</v>
      </c>
      <c r="H404" s="9" t="n">
        <v>3.6</v>
      </c>
      <c r="I404" s="10" t="n">
        <v>29.903</v>
      </c>
      <c r="J404" s="11" t="n">
        <v>421281.025</v>
      </c>
      <c r="K404" s="11" t="n">
        <v>2046324.124</v>
      </c>
      <c r="L404" s="12" t="n">
        <v>18.5059334</v>
      </c>
      <c r="M404" s="12" t="n">
        <v>-69.7457342</v>
      </c>
      <c r="N404" s="7" t="n">
        <v>399</v>
      </c>
      <c r="O404" s="7" t="s">
        <v>40</v>
      </c>
      <c r="P404" s="8"/>
      <c r="Q404" s="13" t="s">
        <v>25</v>
      </c>
    </row>
    <row r="405" customFormat="false" ht="15" hidden="false" customHeight="false" outlineLevel="0" collapsed="false">
      <c r="A405" s="14" t="s">
        <v>578</v>
      </c>
      <c r="B405" s="14" t="s">
        <v>38</v>
      </c>
      <c r="C405" s="14" t="s">
        <v>6</v>
      </c>
      <c r="D405" s="15" t="s">
        <v>576</v>
      </c>
      <c r="E405" s="14"/>
      <c r="F405" s="15"/>
      <c r="G405" s="14" t="s">
        <v>565</v>
      </c>
      <c r="H405" s="16" t="n">
        <v>3.2</v>
      </c>
      <c r="I405" s="17" t="n">
        <v>29.826</v>
      </c>
      <c r="J405" s="18" t="n">
        <v>421406.037</v>
      </c>
      <c r="K405" s="18" t="n">
        <v>2046292.907</v>
      </c>
      <c r="L405" s="19" t="n">
        <v>18.5056559</v>
      </c>
      <c r="M405" s="19" t="n">
        <v>-69.7445488</v>
      </c>
      <c r="N405" s="14" t="n">
        <v>400</v>
      </c>
      <c r="O405" s="14" t="s">
        <v>40</v>
      </c>
      <c r="P405" s="15"/>
      <c r="Q405" s="20" t="s">
        <v>25</v>
      </c>
    </row>
    <row r="406" customFormat="false" ht="15" hidden="false" customHeight="false" outlineLevel="0" collapsed="false">
      <c r="A406" s="7" t="s">
        <v>579</v>
      </c>
      <c r="B406" s="7" t="s">
        <v>38</v>
      </c>
      <c r="C406" s="7" t="s">
        <v>6</v>
      </c>
      <c r="D406" s="8" t="s">
        <v>576</v>
      </c>
      <c r="E406" s="7"/>
      <c r="F406" s="8"/>
      <c r="G406" s="7" t="s">
        <v>517</v>
      </c>
      <c r="H406" s="9" t="n">
        <v>3.4</v>
      </c>
      <c r="I406" s="10" t="n">
        <v>29.541</v>
      </c>
      <c r="J406" s="11" t="n">
        <v>421456.814</v>
      </c>
      <c r="K406" s="11" t="n">
        <v>2046268.16</v>
      </c>
      <c r="L406" s="12" t="n">
        <v>18.5054342</v>
      </c>
      <c r="M406" s="12" t="n">
        <v>-69.7440668</v>
      </c>
      <c r="N406" s="7" t="n">
        <v>401</v>
      </c>
      <c r="O406" s="7" t="s">
        <v>40</v>
      </c>
      <c r="P406" s="8"/>
      <c r="Q406" s="13" t="s">
        <v>25</v>
      </c>
    </row>
    <row r="407" customFormat="false" ht="15" hidden="false" customHeight="false" outlineLevel="0" collapsed="false">
      <c r="A407" s="14" t="s">
        <v>580</v>
      </c>
      <c r="B407" s="14" t="s">
        <v>38</v>
      </c>
      <c r="C407" s="14" t="s">
        <v>6</v>
      </c>
      <c r="D407" s="15" t="s">
        <v>576</v>
      </c>
      <c r="E407" s="14"/>
      <c r="F407" s="15"/>
      <c r="G407" s="14" t="s">
        <v>517</v>
      </c>
      <c r="H407" s="16" t="n">
        <v>3.4</v>
      </c>
      <c r="I407" s="17" t="n">
        <v>29.291</v>
      </c>
      <c r="J407" s="18" t="n">
        <v>421511.124</v>
      </c>
      <c r="K407" s="18" t="n">
        <v>2046241.093</v>
      </c>
      <c r="L407" s="19" t="n">
        <v>18.5051916</v>
      </c>
      <c r="M407" s="19" t="n">
        <v>-69.7435513</v>
      </c>
      <c r="N407" s="14" t="n">
        <v>402</v>
      </c>
      <c r="O407" s="14" t="s">
        <v>40</v>
      </c>
      <c r="P407" s="15"/>
      <c r="Q407" s="20" t="s">
        <v>25</v>
      </c>
    </row>
    <row r="408" customFormat="false" ht="15" hidden="false" customHeight="false" outlineLevel="0" collapsed="false">
      <c r="A408" s="7" t="s">
        <v>581</v>
      </c>
      <c r="B408" s="7" t="s">
        <v>38</v>
      </c>
      <c r="C408" s="7" t="s">
        <v>6</v>
      </c>
      <c r="D408" s="8" t="s">
        <v>576</v>
      </c>
      <c r="E408" s="7"/>
      <c r="F408" s="8"/>
      <c r="G408" s="7" t="s">
        <v>517</v>
      </c>
      <c r="H408" s="9" t="n">
        <v>3.4</v>
      </c>
      <c r="I408" s="10" t="n">
        <v>28.87</v>
      </c>
      <c r="J408" s="11" t="n">
        <v>421562.041</v>
      </c>
      <c r="K408" s="11" t="n">
        <v>2046215.689</v>
      </c>
      <c r="L408" s="12" t="n">
        <v>18.5049639</v>
      </c>
      <c r="M408" s="12" t="n">
        <v>-69.743068</v>
      </c>
      <c r="N408" s="7" t="n">
        <v>403</v>
      </c>
      <c r="O408" s="7" t="s">
        <v>40</v>
      </c>
      <c r="P408" s="8"/>
      <c r="Q408" s="13" t="s">
        <v>25</v>
      </c>
    </row>
    <row r="409" customFormat="false" ht="15" hidden="false" customHeight="false" outlineLevel="0" collapsed="false">
      <c r="A409" s="14" t="s">
        <v>582</v>
      </c>
      <c r="B409" s="14" t="s">
        <v>38</v>
      </c>
      <c r="C409" s="14" t="s">
        <v>6</v>
      </c>
      <c r="D409" s="15" t="s">
        <v>576</v>
      </c>
      <c r="E409" s="14"/>
      <c r="F409" s="15"/>
      <c r="G409" s="14" t="s">
        <v>517</v>
      </c>
      <c r="H409" s="16" t="n">
        <v>3.5</v>
      </c>
      <c r="I409" s="17" t="n">
        <v>28.573</v>
      </c>
      <c r="J409" s="18" t="n">
        <v>421612.759</v>
      </c>
      <c r="K409" s="18" t="n">
        <v>2046190.572</v>
      </c>
      <c r="L409" s="19" t="n">
        <v>18.5047388</v>
      </c>
      <c r="M409" s="19" t="n">
        <v>-69.7425866</v>
      </c>
      <c r="N409" s="14" t="n">
        <v>404</v>
      </c>
      <c r="O409" s="14" t="s">
        <v>40</v>
      </c>
      <c r="P409" s="15"/>
      <c r="Q409" s="20" t="s">
        <v>25</v>
      </c>
    </row>
    <row r="410" customFormat="false" ht="15" hidden="false" customHeight="false" outlineLevel="0" collapsed="false">
      <c r="A410" s="7" t="s">
        <v>583</v>
      </c>
      <c r="B410" s="7" t="s">
        <v>38</v>
      </c>
      <c r="C410" s="7" t="s">
        <v>6</v>
      </c>
      <c r="D410" s="8" t="s">
        <v>576</v>
      </c>
      <c r="E410" s="7"/>
      <c r="F410" s="8"/>
      <c r="G410" s="7" t="s">
        <v>91</v>
      </c>
      <c r="H410" s="9" t="n">
        <v>5.8</v>
      </c>
      <c r="I410" s="10" t="n">
        <v>28.608</v>
      </c>
      <c r="J410" s="11" t="n">
        <v>421615.91</v>
      </c>
      <c r="K410" s="11" t="n">
        <v>2046206.745</v>
      </c>
      <c r="L410" s="12" t="n">
        <v>18.504885</v>
      </c>
      <c r="M410" s="12" t="n">
        <v>-69.7425574</v>
      </c>
      <c r="N410" s="7" t="n">
        <v>405</v>
      </c>
      <c r="O410" s="7" t="s">
        <v>40</v>
      </c>
      <c r="P410" s="8"/>
      <c r="Q410" s="13" t="s">
        <v>25</v>
      </c>
    </row>
    <row r="411" customFormat="false" ht="15" hidden="false" customHeight="false" outlineLevel="0" collapsed="false">
      <c r="A411" s="14" t="s">
        <v>584</v>
      </c>
      <c r="B411" s="14" t="s">
        <v>38</v>
      </c>
      <c r="C411" s="14" t="s">
        <v>6</v>
      </c>
      <c r="D411" s="15" t="s">
        <v>576</v>
      </c>
      <c r="E411" s="14"/>
      <c r="F411" s="15"/>
      <c r="G411" s="14" t="s">
        <v>91</v>
      </c>
      <c r="H411" s="16" t="n">
        <v>5.7</v>
      </c>
      <c r="I411" s="17" t="n">
        <v>28.885</v>
      </c>
      <c r="J411" s="18" t="n">
        <v>421576.537</v>
      </c>
      <c r="K411" s="18" t="n">
        <v>2046226.407</v>
      </c>
      <c r="L411" s="19" t="n">
        <v>18.5050613</v>
      </c>
      <c r="M411" s="19" t="n">
        <v>-69.7429311</v>
      </c>
      <c r="N411" s="14" t="n">
        <v>406</v>
      </c>
      <c r="O411" s="14" t="s">
        <v>40</v>
      </c>
      <c r="P411" s="15"/>
      <c r="Q411" s="20" t="s">
        <v>25</v>
      </c>
    </row>
    <row r="412" customFormat="false" ht="15" hidden="false" customHeight="false" outlineLevel="0" collapsed="false">
      <c r="A412" s="7" t="s">
        <v>585</v>
      </c>
      <c r="B412" s="7" t="s">
        <v>38</v>
      </c>
      <c r="C412" s="7" t="s">
        <v>6</v>
      </c>
      <c r="D412" s="8" t="s">
        <v>576</v>
      </c>
      <c r="E412" s="7"/>
      <c r="F412" s="8"/>
      <c r="G412" s="7" t="s">
        <v>91</v>
      </c>
      <c r="H412" s="9" t="n">
        <v>5.7</v>
      </c>
      <c r="I412" s="10" t="n">
        <v>29.053</v>
      </c>
      <c r="J412" s="11" t="n">
        <v>421540.762</v>
      </c>
      <c r="K412" s="11" t="n">
        <v>2046244.221</v>
      </c>
      <c r="L412" s="12" t="n">
        <v>18.5052209</v>
      </c>
      <c r="M412" s="12" t="n">
        <v>-69.7432707</v>
      </c>
      <c r="N412" s="7" t="n">
        <v>407</v>
      </c>
      <c r="O412" s="7" t="s">
        <v>40</v>
      </c>
      <c r="P412" s="8"/>
      <c r="Q412" s="13" t="s">
        <v>25</v>
      </c>
    </row>
    <row r="413" customFormat="false" ht="15" hidden="false" customHeight="false" outlineLevel="0" collapsed="false">
      <c r="A413" s="14" t="s">
        <v>586</v>
      </c>
      <c r="B413" s="14" t="s">
        <v>38</v>
      </c>
      <c r="C413" s="14" t="s">
        <v>6</v>
      </c>
      <c r="D413" s="15" t="s">
        <v>576</v>
      </c>
      <c r="E413" s="14"/>
      <c r="F413" s="15"/>
      <c r="G413" s="14" t="s">
        <v>91</v>
      </c>
      <c r="H413" s="16" t="n">
        <v>5.8</v>
      </c>
      <c r="I413" s="17" t="n">
        <v>29.342</v>
      </c>
      <c r="J413" s="18" t="n">
        <v>421503.741</v>
      </c>
      <c r="K413" s="18" t="n">
        <v>2046262.564</v>
      </c>
      <c r="L413" s="19" t="n">
        <v>18.5053853</v>
      </c>
      <c r="M413" s="19" t="n">
        <v>-69.7436221</v>
      </c>
      <c r="N413" s="14" t="n">
        <v>408</v>
      </c>
      <c r="O413" s="14" t="s">
        <v>40</v>
      </c>
      <c r="P413" s="15"/>
      <c r="Q413" s="20" t="s">
        <v>25</v>
      </c>
    </row>
    <row r="414" customFormat="false" ht="15" hidden="false" customHeight="false" outlineLevel="0" collapsed="false">
      <c r="A414" s="7" t="s">
        <v>587</v>
      </c>
      <c r="B414" s="7" t="s">
        <v>38</v>
      </c>
      <c r="C414" s="7" t="s">
        <v>6</v>
      </c>
      <c r="D414" s="8" t="s">
        <v>576</v>
      </c>
      <c r="E414" s="7"/>
      <c r="F414" s="8"/>
      <c r="G414" s="7" t="s">
        <v>91</v>
      </c>
      <c r="H414" s="9" t="n">
        <v>5.7</v>
      </c>
      <c r="I414" s="10" t="n">
        <v>29.486</v>
      </c>
      <c r="J414" s="11" t="n">
        <v>421471.648</v>
      </c>
      <c r="K414" s="11" t="n">
        <v>2046278.672</v>
      </c>
      <c r="L414" s="12" t="n">
        <v>18.5055297</v>
      </c>
      <c r="M414" s="12" t="n">
        <v>-69.7439267</v>
      </c>
      <c r="N414" s="7" t="n">
        <v>409</v>
      </c>
      <c r="O414" s="7" t="s">
        <v>40</v>
      </c>
      <c r="P414" s="8"/>
      <c r="Q414" s="13" t="s">
        <v>25</v>
      </c>
    </row>
    <row r="415" customFormat="false" ht="15" hidden="false" customHeight="false" outlineLevel="0" collapsed="false">
      <c r="A415" s="14" t="s">
        <v>588</v>
      </c>
      <c r="B415" s="14" t="s">
        <v>38</v>
      </c>
      <c r="C415" s="14" t="s">
        <v>6</v>
      </c>
      <c r="D415" s="15" t="s">
        <v>576</v>
      </c>
      <c r="E415" s="14"/>
      <c r="F415" s="15"/>
      <c r="G415" s="14" t="s">
        <v>91</v>
      </c>
      <c r="H415" s="16" t="n">
        <v>5.6</v>
      </c>
      <c r="I415" s="17" t="n">
        <v>29.817</v>
      </c>
      <c r="J415" s="18" t="n">
        <v>421443.398</v>
      </c>
      <c r="K415" s="18" t="n">
        <v>2046292.885</v>
      </c>
      <c r="L415" s="19" t="n">
        <v>18.5056571</v>
      </c>
      <c r="M415" s="19" t="n">
        <v>-69.7441949</v>
      </c>
      <c r="N415" s="14" t="n">
        <v>410</v>
      </c>
      <c r="O415" s="14" t="s">
        <v>40</v>
      </c>
      <c r="P415" s="15"/>
      <c r="Q415" s="20" t="s">
        <v>25</v>
      </c>
    </row>
    <row r="416" customFormat="false" ht="15" hidden="false" customHeight="false" outlineLevel="0" collapsed="false">
      <c r="A416" s="7" t="s">
        <v>589</v>
      </c>
      <c r="B416" s="7" t="s">
        <v>38</v>
      </c>
      <c r="C416" s="7" t="s">
        <v>6</v>
      </c>
      <c r="D416" s="8" t="s">
        <v>576</v>
      </c>
      <c r="E416" s="7"/>
      <c r="F416" s="8"/>
      <c r="G416" s="7" t="s">
        <v>91</v>
      </c>
      <c r="H416" s="9" t="n">
        <v>5.5</v>
      </c>
      <c r="I416" s="10" t="n">
        <v>30.349</v>
      </c>
      <c r="J416" s="11" t="n">
        <v>421409.291</v>
      </c>
      <c r="K416" s="11" t="n">
        <v>2046309.023</v>
      </c>
      <c r="L416" s="12" t="n">
        <v>18.5058017</v>
      </c>
      <c r="M416" s="12" t="n">
        <v>-69.7445186</v>
      </c>
      <c r="N416" s="7" t="n">
        <v>411</v>
      </c>
      <c r="O416" s="7" t="s">
        <v>40</v>
      </c>
      <c r="P416" s="8"/>
      <c r="Q416" s="13" t="s">
        <v>25</v>
      </c>
    </row>
    <row r="417" customFormat="false" ht="15" hidden="false" customHeight="false" outlineLevel="0" collapsed="false">
      <c r="A417" s="14" t="s">
        <v>590</v>
      </c>
      <c r="B417" s="14" t="s">
        <v>38</v>
      </c>
      <c r="C417" s="14" t="s">
        <v>6</v>
      </c>
      <c r="D417" s="15" t="s">
        <v>576</v>
      </c>
      <c r="E417" s="14"/>
      <c r="F417" s="15"/>
      <c r="G417" s="14" t="s">
        <v>91</v>
      </c>
      <c r="H417" s="16" t="n">
        <v>5.4</v>
      </c>
      <c r="I417" s="17" t="n">
        <v>30.044</v>
      </c>
      <c r="J417" s="18" t="n">
        <v>421379.591</v>
      </c>
      <c r="K417" s="18" t="n">
        <v>2046316.441</v>
      </c>
      <c r="L417" s="19" t="n">
        <v>18.5058676</v>
      </c>
      <c r="M417" s="19" t="n">
        <v>-69.7448002</v>
      </c>
      <c r="N417" s="14" t="n">
        <v>412</v>
      </c>
      <c r="O417" s="14" t="s">
        <v>40</v>
      </c>
      <c r="P417" s="15"/>
      <c r="Q417" s="20" t="s">
        <v>25</v>
      </c>
    </row>
    <row r="418" customFormat="false" ht="15" hidden="false" customHeight="false" outlineLevel="0" collapsed="false">
      <c r="A418" s="7" t="s">
        <v>591</v>
      </c>
      <c r="B418" s="7" t="s">
        <v>38</v>
      </c>
      <c r="C418" s="7" t="s">
        <v>6</v>
      </c>
      <c r="D418" s="8" t="s">
        <v>576</v>
      </c>
      <c r="E418" s="7"/>
      <c r="F418" s="8"/>
      <c r="G418" s="7" t="s">
        <v>91</v>
      </c>
      <c r="H418" s="9" t="n">
        <v>5.5</v>
      </c>
      <c r="I418" s="10" t="n">
        <v>29.902</v>
      </c>
      <c r="J418" s="11" t="n">
        <v>421271.161</v>
      </c>
      <c r="K418" s="11" t="n">
        <v>2046343.107</v>
      </c>
      <c r="L418" s="12" t="n">
        <v>18.5061046</v>
      </c>
      <c r="M418" s="12" t="n">
        <v>-69.7458284</v>
      </c>
      <c r="N418" s="7" t="n">
        <v>413</v>
      </c>
      <c r="O418" s="7" t="s">
        <v>40</v>
      </c>
      <c r="P418" s="8"/>
      <c r="Q418" s="13" t="s">
        <v>25</v>
      </c>
    </row>
    <row r="419" customFormat="false" ht="15" hidden="false" customHeight="false" outlineLevel="0" collapsed="false">
      <c r="A419" s="14" t="s">
        <v>592</v>
      </c>
      <c r="B419" s="14" t="s">
        <v>38</v>
      </c>
      <c r="C419" s="14" t="s">
        <v>6</v>
      </c>
      <c r="D419" s="15" t="s">
        <v>576</v>
      </c>
      <c r="E419" s="14"/>
      <c r="F419" s="15"/>
      <c r="G419" s="14" t="s">
        <v>593</v>
      </c>
      <c r="H419" s="16" t="n">
        <v>5.4</v>
      </c>
      <c r="I419" s="17" t="n">
        <v>29.565</v>
      </c>
      <c r="J419" s="18" t="n">
        <v>421204.475</v>
      </c>
      <c r="K419" s="18" t="n">
        <v>2046359.598</v>
      </c>
      <c r="L419" s="19" t="n">
        <v>18.5062511</v>
      </c>
      <c r="M419" s="19" t="n">
        <v>-69.7464608</v>
      </c>
      <c r="N419" s="14" t="n">
        <v>414</v>
      </c>
      <c r="O419" s="14" t="s">
        <v>40</v>
      </c>
      <c r="P419" s="15"/>
      <c r="Q419" s="20" t="s">
        <v>25</v>
      </c>
    </row>
    <row r="420" customFormat="false" ht="15" hidden="false" customHeight="false" outlineLevel="0" collapsed="false">
      <c r="A420" s="7" t="s">
        <v>594</v>
      </c>
      <c r="B420" s="7" t="s">
        <v>38</v>
      </c>
      <c r="C420" s="7" t="s">
        <v>6</v>
      </c>
      <c r="D420" s="8" t="s">
        <v>570</v>
      </c>
      <c r="E420" s="7"/>
      <c r="F420" s="8"/>
      <c r="G420" s="7" t="s">
        <v>593</v>
      </c>
      <c r="H420" s="9" t="n">
        <v>7.8</v>
      </c>
      <c r="I420" s="10" t="n">
        <v>29.413</v>
      </c>
      <c r="J420" s="11" t="n">
        <v>421191.086</v>
      </c>
      <c r="K420" s="11" t="n">
        <v>2046371.678</v>
      </c>
      <c r="L420" s="12" t="n">
        <v>18.5063598</v>
      </c>
      <c r="M420" s="12" t="n">
        <v>-69.7465881</v>
      </c>
      <c r="N420" s="7" t="n">
        <v>415</v>
      </c>
      <c r="O420" s="7" t="s">
        <v>40</v>
      </c>
      <c r="P420" s="8"/>
      <c r="Q420" s="13" t="s">
        <v>25</v>
      </c>
    </row>
    <row r="421" customFormat="false" ht="15" hidden="false" customHeight="false" outlineLevel="0" collapsed="false">
      <c r="A421" s="14" t="s">
        <v>595</v>
      </c>
      <c r="B421" s="14" t="s">
        <v>38</v>
      </c>
      <c r="C421" s="14" t="s">
        <v>6</v>
      </c>
      <c r="D421" s="15" t="s">
        <v>570</v>
      </c>
      <c r="E421" s="14"/>
      <c r="F421" s="15"/>
      <c r="G421" s="14" t="s">
        <v>593</v>
      </c>
      <c r="H421" s="16" t="n">
        <v>6.6</v>
      </c>
      <c r="I421" s="17" t="n">
        <v>29.17</v>
      </c>
      <c r="J421" s="18" t="n">
        <v>421202.704</v>
      </c>
      <c r="K421" s="18" t="n">
        <v>2046420.536</v>
      </c>
      <c r="L421" s="19" t="n">
        <v>18.5068018</v>
      </c>
      <c r="M421" s="19" t="n">
        <v>-69.7464799</v>
      </c>
      <c r="N421" s="14" t="n">
        <v>416</v>
      </c>
      <c r="O421" s="14" t="s">
        <v>40</v>
      </c>
      <c r="P421" s="15"/>
      <c r="Q421" s="20" t="s">
        <v>25</v>
      </c>
    </row>
    <row r="422" customFormat="false" ht="15" hidden="false" customHeight="false" outlineLevel="0" collapsed="false">
      <c r="A422" s="7" t="s">
        <v>596</v>
      </c>
      <c r="B422" s="7" t="s">
        <v>38</v>
      </c>
      <c r="C422" s="7" t="s">
        <v>6</v>
      </c>
      <c r="D422" s="8" t="s">
        <v>570</v>
      </c>
      <c r="E422" s="7"/>
      <c r="F422" s="8"/>
      <c r="G422" s="7" t="s">
        <v>597</v>
      </c>
      <c r="H422" s="9" t="n">
        <v>6.4</v>
      </c>
      <c r="I422" s="10" t="n">
        <v>28.809</v>
      </c>
      <c r="J422" s="11" t="n">
        <v>421217.466</v>
      </c>
      <c r="K422" s="11" t="n">
        <v>2046478.572</v>
      </c>
      <c r="L422" s="12" t="n">
        <v>18.5073268</v>
      </c>
      <c r="M422" s="12" t="n">
        <v>-69.7463424</v>
      </c>
      <c r="N422" s="7" t="n">
        <v>417</v>
      </c>
      <c r="O422" s="7" t="s">
        <v>40</v>
      </c>
      <c r="P422" s="8"/>
      <c r="Q422" s="13" t="s">
        <v>25</v>
      </c>
    </row>
    <row r="423" customFormat="false" ht="15" hidden="false" customHeight="false" outlineLevel="0" collapsed="false">
      <c r="A423" s="14" t="s">
        <v>598</v>
      </c>
      <c r="B423" s="14" t="s">
        <v>38</v>
      </c>
      <c r="C423" s="14" t="s">
        <v>6</v>
      </c>
      <c r="D423" s="15" t="s">
        <v>570</v>
      </c>
      <c r="E423" s="14"/>
      <c r="F423" s="15"/>
      <c r="G423" s="14" t="s">
        <v>597</v>
      </c>
      <c r="H423" s="16" t="n">
        <v>16.1</v>
      </c>
      <c r="I423" s="17" t="n">
        <v>28.668</v>
      </c>
      <c r="J423" s="18" t="n">
        <v>421211.95</v>
      </c>
      <c r="K423" s="18" t="n">
        <v>2046496.343</v>
      </c>
      <c r="L423" s="19" t="n">
        <v>18.5074872</v>
      </c>
      <c r="M423" s="19" t="n">
        <v>-69.7463953</v>
      </c>
      <c r="N423" s="14" t="n">
        <v>418</v>
      </c>
      <c r="O423" s="14" t="s">
        <v>40</v>
      </c>
      <c r="P423" s="15"/>
      <c r="Q423" s="20" t="s">
        <v>25</v>
      </c>
    </row>
    <row r="424" customFormat="false" ht="15" hidden="false" customHeight="false" outlineLevel="0" collapsed="false">
      <c r="A424" s="7" t="s">
        <v>599</v>
      </c>
      <c r="B424" s="7" t="s">
        <v>38</v>
      </c>
      <c r="C424" s="7" t="s">
        <v>6</v>
      </c>
      <c r="D424" s="8" t="s">
        <v>570</v>
      </c>
      <c r="E424" s="7"/>
      <c r="F424" s="8"/>
      <c r="G424" s="7" t="s">
        <v>600</v>
      </c>
      <c r="H424" s="9" t="n">
        <v>11.9</v>
      </c>
      <c r="I424" s="10" t="n">
        <v>28.682</v>
      </c>
      <c r="J424" s="11" t="n">
        <v>421191.044</v>
      </c>
      <c r="K424" s="11" t="n">
        <v>2046495.878</v>
      </c>
      <c r="L424" s="12" t="n">
        <v>18.5074822</v>
      </c>
      <c r="M424" s="12" t="n">
        <v>-69.7465933</v>
      </c>
      <c r="N424" s="7" t="n">
        <v>419</v>
      </c>
      <c r="O424" s="7" t="s">
        <v>40</v>
      </c>
      <c r="P424" s="8"/>
      <c r="Q424" s="13" t="s">
        <v>25</v>
      </c>
    </row>
    <row r="425" customFormat="false" ht="15" hidden="false" customHeight="false" outlineLevel="0" collapsed="false">
      <c r="A425" s="14" t="s">
        <v>601</v>
      </c>
      <c r="B425" s="14" t="s">
        <v>38</v>
      </c>
      <c r="C425" s="14" t="s">
        <v>6</v>
      </c>
      <c r="D425" s="15" t="s">
        <v>570</v>
      </c>
      <c r="E425" s="14"/>
      <c r="F425" s="15"/>
      <c r="G425" s="14" t="s">
        <v>600</v>
      </c>
      <c r="H425" s="16" t="n">
        <v>3.5</v>
      </c>
      <c r="I425" s="17" t="n">
        <v>28.757</v>
      </c>
      <c r="J425" s="18" t="n">
        <v>421181.958</v>
      </c>
      <c r="K425" s="18" t="n">
        <v>2046491.085</v>
      </c>
      <c r="L425" s="19" t="n">
        <v>18.5074386</v>
      </c>
      <c r="M425" s="19" t="n">
        <v>-69.7466792</v>
      </c>
      <c r="N425" s="14" t="n">
        <v>420</v>
      </c>
      <c r="O425" s="14" t="s">
        <v>40</v>
      </c>
      <c r="P425" s="15"/>
      <c r="Q425" s="20" t="s">
        <v>25</v>
      </c>
    </row>
    <row r="426" customFormat="false" ht="15" hidden="false" customHeight="false" outlineLevel="0" collapsed="false">
      <c r="A426" s="7" t="s">
        <v>602</v>
      </c>
      <c r="B426" s="7" t="s">
        <v>38</v>
      </c>
      <c r="C426" s="7" t="s">
        <v>6</v>
      </c>
      <c r="D426" s="8" t="s">
        <v>570</v>
      </c>
      <c r="E426" s="7"/>
      <c r="F426" s="8"/>
      <c r="G426" s="7" t="s">
        <v>600</v>
      </c>
      <c r="H426" s="9" t="n">
        <v>3.3</v>
      </c>
      <c r="I426" s="10" t="n">
        <v>29.149</v>
      </c>
      <c r="J426" s="11" t="n">
        <v>421168.492</v>
      </c>
      <c r="K426" s="11" t="n">
        <v>2046437.584</v>
      </c>
      <c r="L426" s="12" t="n">
        <v>18.5069546</v>
      </c>
      <c r="M426" s="12" t="n">
        <v>-69.7468047</v>
      </c>
      <c r="N426" s="7" t="n">
        <v>421</v>
      </c>
      <c r="O426" s="7" t="s">
        <v>40</v>
      </c>
      <c r="P426" s="8"/>
      <c r="Q426" s="13" t="s">
        <v>25</v>
      </c>
    </row>
    <row r="427" customFormat="false" ht="15" hidden="false" customHeight="false" outlineLevel="0" collapsed="false">
      <c r="A427" s="14" t="s">
        <v>603</v>
      </c>
      <c r="B427" s="14" t="s">
        <v>21</v>
      </c>
      <c r="C427" s="14" t="s">
        <v>6</v>
      </c>
      <c r="D427" s="15" t="s">
        <v>576</v>
      </c>
      <c r="E427" s="14"/>
      <c r="F427" s="15"/>
      <c r="G427" s="14" t="s">
        <v>604</v>
      </c>
      <c r="H427" s="16" t="n">
        <v>4.7</v>
      </c>
      <c r="I427" s="17" t="n">
        <v>29.563</v>
      </c>
      <c r="J427" s="18" t="n">
        <v>421145.534</v>
      </c>
      <c r="K427" s="18" t="n">
        <v>2046349.986</v>
      </c>
      <c r="L427" s="19" t="n">
        <v>18.506162</v>
      </c>
      <c r="M427" s="19" t="n">
        <v>-69.7470187</v>
      </c>
      <c r="N427" s="14" t="n">
        <v>422</v>
      </c>
      <c r="O427" s="14" t="s">
        <v>24</v>
      </c>
      <c r="P427" s="15"/>
      <c r="Q427" s="20" t="s">
        <v>25</v>
      </c>
    </row>
    <row r="428" customFormat="false" ht="15" hidden="false" customHeight="false" outlineLevel="0" collapsed="false">
      <c r="A428" s="7" t="s">
        <v>605</v>
      </c>
      <c r="B428" s="7" t="s">
        <v>38</v>
      </c>
      <c r="C428" s="7" t="s">
        <v>6</v>
      </c>
      <c r="D428" s="8" t="s">
        <v>570</v>
      </c>
      <c r="E428" s="7"/>
      <c r="F428" s="8"/>
      <c r="G428" s="7" t="s">
        <v>604</v>
      </c>
      <c r="H428" s="9" t="n">
        <v>13</v>
      </c>
      <c r="I428" s="10" t="n">
        <v>29.801</v>
      </c>
      <c r="J428" s="11" t="n">
        <v>421154.765</v>
      </c>
      <c r="K428" s="11" t="n">
        <v>2046340.297</v>
      </c>
      <c r="L428" s="12" t="n">
        <v>18.5060748</v>
      </c>
      <c r="M428" s="12" t="n">
        <v>-69.7469309</v>
      </c>
      <c r="N428" s="7" t="n">
        <v>423</v>
      </c>
      <c r="O428" s="7" t="s">
        <v>40</v>
      </c>
      <c r="P428" s="8"/>
      <c r="Q428" s="13" t="s">
        <v>25</v>
      </c>
    </row>
    <row r="429" customFormat="false" ht="15" hidden="false" customHeight="false" outlineLevel="0" collapsed="false">
      <c r="A429" s="14" t="s">
        <v>606</v>
      </c>
      <c r="B429" s="14" t="s">
        <v>38</v>
      </c>
      <c r="C429" s="14" t="s">
        <v>6</v>
      </c>
      <c r="D429" s="15" t="s">
        <v>570</v>
      </c>
      <c r="E429" s="14"/>
      <c r="F429" s="15"/>
      <c r="G429" s="14" t="s">
        <v>604</v>
      </c>
      <c r="H429" s="16" t="n">
        <v>3</v>
      </c>
      <c r="I429" s="17" t="n">
        <v>30.129</v>
      </c>
      <c r="J429" s="18" t="n">
        <v>421126.393</v>
      </c>
      <c r="K429" s="18" t="n">
        <v>2046268.57</v>
      </c>
      <c r="L429" s="19" t="n">
        <v>18.5054255</v>
      </c>
      <c r="M429" s="19" t="n">
        <v>-69.7471969</v>
      </c>
      <c r="N429" s="14" t="n">
        <v>424</v>
      </c>
      <c r="O429" s="14" t="s">
        <v>40</v>
      </c>
      <c r="P429" s="15"/>
      <c r="Q429" s="20" t="s">
        <v>25</v>
      </c>
    </row>
    <row r="430" customFormat="false" ht="15" hidden="false" customHeight="false" outlineLevel="0" collapsed="false">
      <c r="A430" s="7" t="s">
        <v>607</v>
      </c>
      <c r="B430" s="7" t="s">
        <v>38</v>
      </c>
      <c r="C430" s="7" t="s">
        <v>6</v>
      </c>
      <c r="D430" s="8" t="s">
        <v>570</v>
      </c>
      <c r="E430" s="7"/>
      <c r="F430" s="8"/>
      <c r="G430" s="7" t="s">
        <v>604</v>
      </c>
      <c r="H430" s="9" t="n">
        <v>3.2</v>
      </c>
      <c r="I430" s="10" t="n">
        <v>30.723</v>
      </c>
      <c r="J430" s="11" t="n">
        <v>421117.828</v>
      </c>
      <c r="K430" s="11" t="n">
        <v>2046233.548</v>
      </c>
      <c r="L430" s="12" t="n">
        <v>18.5051087</v>
      </c>
      <c r="M430" s="12" t="n">
        <v>-69.7472766</v>
      </c>
      <c r="N430" s="7" t="n">
        <v>425</v>
      </c>
      <c r="O430" s="7" t="s">
        <v>40</v>
      </c>
      <c r="P430" s="8"/>
      <c r="Q430" s="13" t="s">
        <v>25</v>
      </c>
    </row>
    <row r="431" customFormat="false" ht="15" hidden="false" customHeight="false" outlineLevel="0" collapsed="false">
      <c r="A431" s="14" t="s">
        <v>608</v>
      </c>
      <c r="B431" s="14" t="s">
        <v>38</v>
      </c>
      <c r="C431" s="14" t="s">
        <v>6</v>
      </c>
      <c r="D431" s="15" t="s">
        <v>576</v>
      </c>
      <c r="E431" s="14"/>
      <c r="F431" s="15"/>
      <c r="G431" s="14" t="s">
        <v>604</v>
      </c>
      <c r="H431" s="16" t="n">
        <v>3.7</v>
      </c>
      <c r="I431" s="17" t="n">
        <v>29.869</v>
      </c>
      <c r="J431" s="18" t="n">
        <v>421096.938</v>
      </c>
      <c r="K431" s="18" t="n">
        <v>2046369.62</v>
      </c>
      <c r="L431" s="19" t="n">
        <v>18.5063377</v>
      </c>
      <c r="M431" s="19" t="n">
        <v>-69.7474798</v>
      </c>
      <c r="N431" s="14" t="n">
        <v>426</v>
      </c>
      <c r="O431" s="14" t="s">
        <v>40</v>
      </c>
      <c r="P431" s="15"/>
      <c r="Q431" s="20" t="s">
        <v>25</v>
      </c>
    </row>
    <row r="432" customFormat="false" ht="15" hidden="false" customHeight="false" outlineLevel="0" collapsed="false">
      <c r="A432" s="7" t="s">
        <v>609</v>
      </c>
      <c r="B432" s="7" t="s">
        <v>38</v>
      </c>
      <c r="C432" s="7" t="s">
        <v>6</v>
      </c>
      <c r="D432" s="8" t="s">
        <v>576</v>
      </c>
      <c r="E432" s="7"/>
      <c r="F432" s="8"/>
      <c r="G432" s="7" t="s">
        <v>600</v>
      </c>
      <c r="H432" s="9" t="n">
        <v>5.1</v>
      </c>
      <c r="I432" s="10" t="n">
        <v>29.848</v>
      </c>
      <c r="J432" s="11" t="n">
        <v>421093.064</v>
      </c>
      <c r="K432" s="11" t="n">
        <v>2046387.342</v>
      </c>
      <c r="L432" s="12" t="n">
        <v>18.5064977</v>
      </c>
      <c r="M432" s="12" t="n">
        <v>-69.7475172</v>
      </c>
      <c r="N432" s="7" t="n">
        <v>427</v>
      </c>
      <c r="O432" s="7" t="s">
        <v>40</v>
      </c>
      <c r="P432" s="8"/>
      <c r="Q432" s="13" t="s">
        <v>25</v>
      </c>
    </row>
    <row r="433" customFormat="false" ht="15" hidden="false" customHeight="false" outlineLevel="0" collapsed="false">
      <c r="A433" s="14" t="s">
        <v>610</v>
      </c>
      <c r="B433" s="14" t="s">
        <v>38</v>
      </c>
      <c r="C433" s="14" t="s">
        <v>6</v>
      </c>
      <c r="D433" s="15" t="s">
        <v>576</v>
      </c>
      <c r="E433" s="14"/>
      <c r="F433" s="15"/>
      <c r="G433" s="14" t="s">
        <v>600</v>
      </c>
      <c r="H433" s="16" t="n">
        <v>5.1</v>
      </c>
      <c r="I433" s="17" t="n">
        <v>29.692</v>
      </c>
      <c r="J433" s="18" t="n">
        <v>421008.205</v>
      </c>
      <c r="K433" s="18" t="n">
        <v>2046408.293</v>
      </c>
      <c r="L433" s="19" t="n">
        <v>18.5066838</v>
      </c>
      <c r="M433" s="19" t="n">
        <v>-69.7483219</v>
      </c>
      <c r="N433" s="14" t="n">
        <v>428</v>
      </c>
      <c r="O433" s="14" t="s">
        <v>40</v>
      </c>
      <c r="P433" s="15"/>
      <c r="Q433" s="20" t="s">
        <v>25</v>
      </c>
    </row>
    <row r="434" customFormat="false" ht="15" hidden="false" customHeight="false" outlineLevel="0" collapsed="false">
      <c r="A434" s="7" t="s">
        <v>611</v>
      </c>
      <c r="B434" s="7" t="s">
        <v>21</v>
      </c>
      <c r="C434" s="7" t="s">
        <v>6</v>
      </c>
      <c r="D434" s="8" t="s">
        <v>576</v>
      </c>
      <c r="E434" s="7"/>
      <c r="F434" s="8"/>
      <c r="G434" s="7" t="s">
        <v>612</v>
      </c>
      <c r="H434" s="9" t="n">
        <v>5.1</v>
      </c>
      <c r="I434" s="10" t="n">
        <v>29.317</v>
      </c>
      <c r="J434" s="11" t="n">
        <v>420969.534</v>
      </c>
      <c r="K434" s="11" t="n">
        <v>2046417.788</v>
      </c>
      <c r="L434" s="12" t="n">
        <v>18.5067682</v>
      </c>
      <c r="M434" s="12" t="n">
        <v>-69.7486886</v>
      </c>
      <c r="N434" s="7" t="n">
        <v>429</v>
      </c>
      <c r="O434" s="7" t="s">
        <v>24</v>
      </c>
      <c r="P434" s="8"/>
      <c r="Q434" s="13" t="s">
        <v>25</v>
      </c>
    </row>
    <row r="435" customFormat="false" ht="15" hidden="false" customHeight="false" outlineLevel="0" collapsed="false">
      <c r="A435" s="14" t="s">
        <v>613</v>
      </c>
      <c r="B435" s="14" t="s">
        <v>21</v>
      </c>
      <c r="C435" s="14" t="s">
        <v>6</v>
      </c>
      <c r="D435" s="15" t="s">
        <v>576</v>
      </c>
      <c r="E435" s="14"/>
      <c r="F435" s="15"/>
      <c r="G435" s="14" t="s">
        <v>614</v>
      </c>
      <c r="H435" s="16" t="n">
        <v>3.7</v>
      </c>
      <c r="I435" s="17" t="n">
        <v>29.377</v>
      </c>
      <c r="J435" s="18" t="n">
        <v>420965.798</v>
      </c>
      <c r="K435" s="18" t="n">
        <v>2046401.92</v>
      </c>
      <c r="L435" s="19" t="n">
        <v>18.5066247</v>
      </c>
      <c r="M435" s="19" t="n">
        <v>-69.7487234</v>
      </c>
      <c r="N435" s="14" t="n">
        <v>430</v>
      </c>
      <c r="O435" s="14" t="s">
        <v>24</v>
      </c>
      <c r="P435" s="15"/>
      <c r="Q435" s="20" t="s">
        <v>25</v>
      </c>
    </row>
    <row r="436" customFormat="false" ht="15" hidden="false" customHeight="false" outlineLevel="0" collapsed="false">
      <c r="A436" s="7" t="s">
        <v>615</v>
      </c>
      <c r="B436" s="7" t="s">
        <v>21</v>
      </c>
      <c r="C436" s="7" t="s">
        <v>6</v>
      </c>
      <c r="D436" s="8" t="s">
        <v>616</v>
      </c>
      <c r="E436" s="7"/>
      <c r="F436" s="8"/>
      <c r="G436" s="7" t="s">
        <v>617</v>
      </c>
      <c r="H436" s="9" t="n">
        <v>5.9</v>
      </c>
      <c r="I436" s="10" t="n">
        <v>29.499</v>
      </c>
      <c r="J436" s="11" t="n">
        <v>420943.982</v>
      </c>
      <c r="K436" s="11" t="n">
        <v>2046510.711</v>
      </c>
      <c r="L436" s="12" t="n">
        <v>18.507607</v>
      </c>
      <c r="M436" s="12" t="n">
        <v>-69.7489343</v>
      </c>
      <c r="N436" s="7" t="n">
        <v>431</v>
      </c>
      <c r="O436" s="7" t="s">
        <v>24</v>
      </c>
      <c r="P436" s="8"/>
      <c r="Q436" s="13" t="s">
        <v>25</v>
      </c>
    </row>
    <row r="437" customFormat="false" ht="15" hidden="false" customHeight="false" outlineLevel="0" collapsed="false">
      <c r="A437" s="14" t="s">
        <v>618</v>
      </c>
      <c r="B437" s="14" t="s">
        <v>21</v>
      </c>
      <c r="C437" s="14" t="s">
        <v>6</v>
      </c>
      <c r="D437" s="15" t="s">
        <v>616</v>
      </c>
      <c r="E437" s="14"/>
      <c r="F437" s="15"/>
      <c r="G437" s="14" t="s">
        <v>619</v>
      </c>
      <c r="H437" s="16" t="n">
        <v>7.5</v>
      </c>
      <c r="I437" s="17" t="n">
        <v>29.198</v>
      </c>
      <c r="J437" s="18" t="n">
        <v>420932.166</v>
      </c>
      <c r="K437" s="18" t="n">
        <v>2046520.053</v>
      </c>
      <c r="L437" s="19" t="n">
        <v>18.507691</v>
      </c>
      <c r="M437" s="19" t="n">
        <v>-69.7490466</v>
      </c>
      <c r="N437" s="14" t="n">
        <v>432</v>
      </c>
      <c r="O437" s="14" t="s">
        <v>24</v>
      </c>
      <c r="P437" s="15"/>
      <c r="Q437" s="20" t="s">
        <v>25</v>
      </c>
    </row>
    <row r="438" customFormat="false" ht="15" hidden="false" customHeight="false" outlineLevel="0" collapsed="false">
      <c r="A438" s="7" t="s">
        <v>620</v>
      </c>
      <c r="B438" s="7" t="s">
        <v>21</v>
      </c>
      <c r="C438" s="7" t="s">
        <v>6</v>
      </c>
      <c r="D438" s="8" t="s">
        <v>616</v>
      </c>
      <c r="E438" s="7"/>
      <c r="F438" s="8"/>
      <c r="G438" s="7" t="s">
        <v>617</v>
      </c>
      <c r="H438" s="9" t="n">
        <v>5.1</v>
      </c>
      <c r="I438" s="10" t="n">
        <v>27.816</v>
      </c>
      <c r="J438" s="11" t="n">
        <v>420837.919</v>
      </c>
      <c r="K438" s="11" t="n">
        <v>2046540.329</v>
      </c>
      <c r="L438" s="12" t="n">
        <v>18.5078707</v>
      </c>
      <c r="M438" s="12" t="n">
        <v>-69.7499402</v>
      </c>
      <c r="N438" s="7" t="n">
        <v>433</v>
      </c>
      <c r="O438" s="7" t="s">
        <v>24</v>
      </c>
      <c r="P438" s="8"/>
      <c r="Q438" s="13" t="s">
        <v>25</v>
      </c>
    </row>
    <row r="439" customFormat="false" ht="15" hidden="false" customHeight="false" outlineLevel="0" collapsed="false">
      <c r="A439" s="14" t="s">
        <v>621</v>
      </c>
      <c r="B439" s="14" t="s">
        <v>21</v>
      </c>
      <c r="C439" s="14" t="s">
        <v>6</v>
      </c>
      <c r="D439" s="15" t="s">
        <v>622</v>
      </c>
      <c r="E439" s="14"/>
      <c r="F439" s="15"/>
      <c r="G439" s="14" t="s">
        <v>619</v>
      </c>
      <c r="H439" s="16" t="n">
        <v>6.3</v>
      </c>
      <c r="I439" s="17" t="n">
        <v>27.85</v>
      </c>
      <c r="J439" s="18" t="n">
        <v>420825.533</v>
      </c>
      <c r="K439" s="18" t="n">
        <v>2046526.6</v>
      </c>
      <c r="L439" s="19" t="n">
        <v>18.5077462</v>
      </c>
      <c r="M439" s="19" t="n">
        <v>-69.750057</v>
      </c>
      <c r="N439" s="14" t="n">
        <v>434</v>
      </c>
      <c r="O439" s="14" t="s">
        <v>24</v>
      </c>
      <c r="P439" s="15"/>
      <c r="Q439" s="20" t="s">
        <v>25</v>
      </c>
    </row>
    <row r="440" customFormat="false" ht="15" hidden="false" customHeight="false" outlineLevel="0" collapsed="false">
      <c r="A440" s="7" t="s">
        <v>623</v>
      </c>
      <c r="B440" s="7" t="s">
        <v>38</v>
      </c>
      <c r="C440" s="7" t="s">
        <v>6</v>
      </c>
      <c r="D440" s="8" t="s">
        <v>622</v>
      </c>
      <c r="E440" s="7"/>
      <c r="F440" s="8"/>
      <c r="G440" s="7" t="s">
        <v>617</v>
      </c>
      <c r="H440" s="9" t="n">
        <v>4.3</v>
      </c>
      <c r="I440" s="10" t="n">
        <v>27.197</v>
      </c>
      <c r="J440" s="11" t="n">
        <v>420845.154</v>
      </c>
      <c r="K440" s="11" t="n">
        <v>2046607.718</v>
      </c>
      <c r="L440" s="12" t="n">
        <v>18.50848</v>
      </c>
      <c r="M440" s="12" t="n">
        <v>-69.7498743</v>
      </c>
      <c r="N440" s="7" t="n">
        <v>435</v>
      </c>
      <c r="O440" s="7" t="s">
        <v>40</v>
      </c>
      <c r="P440" s="8"/>
      <c r="Q440" s="13" t="s">
        <v>25</v>
      </c>
    </row>
    <row r="441" customFormat="false" ht="15" hidden="false" customHeight="false" outlineLevel="0" collapsed="false">
      <c r="A441" s="14" t="s">
        <v>624</v>
      </c>
      <c r="B441" s="14" t="s">
        <v>38</v>
      </c>
      <c r="C441" s="14" t="s">
        <v>6</v>
      </c>
      <c r="D441" s="15" t="s">
        <v>622</v>
      </c>
      <c r="E441" s="14"/>
      <c r="F441" s="15"/>
      <c r="G441" s="14" t="s">
        <v>625</v>
      </c>
      <c r="H441" s="16" t="n">
        <v>3.6</v>
      </c>
      <c r="I441" s="17" t="n">
        <v>27.318</v>
      </c>
      <c r="J441" s="18" t="n">
        <v>420825.752</v>
      </c>
      <c r="K441" s="18" t="n">
        <v>2046613.777</v>
      </c>
      <c r="L441" s="19" t="n">
        <v>18.508534</v>
      </c>
      <c r="M441" s="19" t="n">
        <v>-69.7500583</v>
      </c>
      <c r="N441" s="14" t="n">
        <v>436</v>
      </c>
      <c r="O441" s="14" t="s">
        <v>40</v>
      </c>
      <c r="P441" s="15"/>
      <c r="Q441" s="20" t="s">
        <v>25</v>
      </c>
    </row>
    <row r="442" customFormat="false" ht="15" hidden="false" customHeight="false" outlineLevel="0" collapsed="false">
      <c r="A442" s="7" t="s">
        <v>626</v>
      </c>
      <c r="B442" s="7" t="s">
        <v>38</v>
      </c>
      <c r="C442" s="7" t="s">
        <v>6</v>
      </c>
      <c r="D442" s="8" t="s">
        <v>622</v>
      </c>
      <c r="E442" s="7"/>
      <c r="F442" s="8"/>
      <c r="G442" s="7" t="s">
        <v>625</v>
      </c>
      <c r="H442" s="9" t="n">
        <v>3.6</v>
      </c>
      <c r="I442" s="10" t="n">
        <v>27.778</v>
      </c>
      <c r="J442" s="11" t="n">
        <v>420802.794</v>
      </c>
      <c r="K442" s="11" t="n">
        <v>2046522.564</v>
      </c>
      <c r="L442" s="12" t="n">
        <v>18.5077088</v>
      </c>
      <c r="M442" s="12" t="n">
        <v>-69.7502722</v>
      </c>
      <c r="N442" s="7" t="n">
        <v>437</v>
      </c>
      <c r="O442" s="7" t="s">
        <v>40</v>
      </c>
      <c r="P442" s="8"/>
      <c r="Q442" s="13" t="s">
        <v>25</v>
      </c>
    </row>
    <row r="443" customFormat="false" ht="15" hidden="false" customHeight="false" outlineLevel="0" collapsed="false">
      <c r="A443" s="14" t="s">
        <v>627</v>
      </c>
      <c r="B443" s="14" t="s">
        <v>21</v>
      </c>
      <c r="C443" s="14" t="s">
        <v>6</v>
      </c>
      <c r="D443" s="15" t="s">
        <v>622</v>
      </c>
      <c r="E443" s="14"/>
      <c r="F443" s="15"/>
      <c r="G443" s="14" t="s">
        <v>628</v>
      </c>
      <c r="H443" s="16" t="n">
        <v>2.8</v>
      </c>
      <c r="I443" s="17" t="n">
        <v>27.869</v>
      </c>
      <c r="J443" s="18" t="n">
        <v>420796.51</v>
      </c>
      <c r="K443" s="18" t="n">
        <v>2046511.292</v>
      </c>
      <c r="L443" s="19" t="n">
        <v>18.5076067</v>
      </c>
      <c r="M443" s="19" t="n">
        <v>-69.7503313</v>
      </c>
      <c r="N443" s="14" t="n">
        <v>438</v>
      </c>
      <c r="O443" s="14" t="s">
        <v>24</v>
      </c>
      <c r="P443" s="15"/>
      <c r="Q443" s="20" t="s">
        <v>25</v>
      </c>
    </row>
    <row r="444" customFormat="false" ht="15" hidden="false" customHeight="false" outlineLevel="0" collapsed="false">
      <c r="A444" s="7" t="s">
        <v>629</v>
      </c>
      <c r="B444" s="7" t="s">
        <v>38</v>
      </c>
      <c r="C444" s="7" t="s">
        <v>6</v>
      </c>
      <c r="D444" s="8" t="s">
        <v>622</v>
      </c>
      <c r="E444" s="7"/>
      <c r="F444" s="8"/>
      <c r="G444" s="7" t="s">
        <v>630</v>
      </c>
      <c r="H444" s="9" t="n">
        <v>3.7</v>
      </c>
      <c r="I444" s="10" t="n">
        <v>30.141</v>
      </c>
      <c r="J444" s="11" t="n">
        <v>420762.342</v>
      </c>
      <c r="K444" s="11" t="n">
        <v>2046361.057</v>
      </c>
      <c r="L444" s="12" t="n">
        <v>18.5062477</v>
      </c>
      <c r="M444" s="12" t="n">
        <v>-69.7506491</v>
      </c>
      <c r="N444" s="7" t="n">
        <v>439</v>
      </c>
      <c r="O444" s="7" t="s">
        <v>40</v>
      </c>
      <c r="P444" s="8"/>
      <c r="Q444" s="13" t="s">
        <v>25</v>
      </c>
    </row>
    <row r="445" customFormat="false" ht="15" hidden="false" customHeight="false" outlineLevel="0" collapsed="false">
      <c r="A445" s="14" t="s">
        <v>631</v>
      </c>
      <c r="B445" s="14" t="s">
        <v>38</v>
      </c>
      <c r="C445" s="14" t="s">
        <v>6</v>
      </c>
      <c r="D445" s="15" t="s">
        <v>622</v>
      </c>
      <c r="E445" s="14"/>
      <c r="F445" s="15"/>
      <c r="G445" s="14" t="s">
        <v>632</v>
      </c>
      <c r="H445" s="16" t="n">
        <v>5.1</v>
      </c>
      <c r="I445" s="17" t="n">
        <v>30.163</v>
      </c>
      <c r="J445" s="18" t="n">
        <v>420782.76</v>
      </c>
      <c r="K445" s="18" t="n">
        <v>2046359.562</v>
      </c>
      <c r="L445" s="19" t="n">
        <v>18.506235</v>
      </c>
      <c r="M445" s="19" t="n">
        <v>-69.7504556</v>
      </c>
      <c r="N445" s="14" t="n">
        <v>440</v>
      </c>
      <c r="O445" s="14" t="s">
        <v>40</v>
      </c>
      <c r="P445" s="15"/>
      <c r="Q445" s="20" t="s">
        <v>25</v>
      </c>
    </row>
    <row r="446" customFormat="false" ht="15" hidden="false" customHeight="false" outlineLevel="0" collapsed="false">
      <c r="A446" s="7" t="s">
        <v>633</v>
      </c>
      <c r="B446" s="7" t="s">
        <v>38</v>
      </c>
      <c r="C446" s="7" t="s">
        <v>6</v>
      </c>
      <c r="D446" s="8" t="s">
        <v>622</v>
      </c>
      <c r="E446" s="7"/>
      <c r="F446" s="8"/>
      <c r="G446" s="7" t="s">
        <v>619</v>
      </c>
      <c r="H446" s="9" t="n">
        <v>4.4</v>
      </c>
      <c r="I446" s="10" t="n">
        <v>27.949</v>
      </c>
      <c r="J446" s="11" t="n">
        <v>420810.455</v>
      </c>
      <c r="K446" s="11" t="n">
        <v>2046460.476</v>
      </c>
      <c r="L446" s="12" t="n">
        <v>18.507148</v>
      </c>
      <c r="M446" s="12" t="n">
        <v>-69.7501972</v>
      </c>
      <c r="N446" s="7" t="n">
        <v>441</v>
      </c>
      <c r="O446" s="7" t="s">
        <v>40</v>
      </c>
      <c r="P446" s="8"/>
      <c r="Q446" s="13" t="s">
        <v>25</v>
      </c>
    </row>
    <row r="447" customFormat="false" ht="15" hidden="false" customHeight="false" outlineLevel="0" collapsed="false">
      <c r="A447" s="14" t="s">
        <v>634</v>
      </c>
      <c r="B447" s="14" t="s">
        <v>38</v>
      </c>
      <c r="C447" s="14" t="s">
        <v>6</v>
      </c>
      <c r="D447" s="15" t="s">
        <v>616</v>
      </c>
      <c r="E447" s="14"/>
      <c r="F447" s="15"/>
      <c r="G447" s="14" t="s">
        <v>632</v>
      </c>
      <c r="H447" s="16" t="n">
        <v>5.7</v>
      </c>
      <c r="I447" s="17" t="n">
        <v>29.487</v>
      </c>
      <c r="J447" s="18" t="n">
        <v>420893.173</v>
      </c>
      <c r="K447" s="18" t="n">
        <v>2046332.19</v>
      </c>
      <c r="L447" s="19" t="n">
        <v>18.5059918</v>
      </c>
      <c r="M447" s="19" t="n">
        <v>-69.7494086</v>
      </c>
      <c r="N447" s="14" t="n">
        <v>442</v>
      </c>
      <c r="O447" s="14" t="s">
        <v>40</v>
      </c>
      <c r="P447" s="15"/>
      <c r="Q447" s="20" t="s">
        <v>25</v>
      </c>
    </row>
    <row r="448" customFormat="false" ht="15" hidden="false" customHeight="false" outlineLevel="0" collapsed="false">
      <c r="A448" s="7" t="s">
        <v>635</v>
      </c>
      <c r="B448" s="7" t="s">
        <v>38</v>
      </c>
      <c r="C448" s="7" t="s">
        <v>6</v>
      </c>
      <c r="D448" s="8" t="s">
        <v>616</v>
      </c>
      <c r="E448" s="7"/>
      <c r="F448" s="8"/>
      <c r="G448" s="7" t="s">
        <v>636</v>
      </c>
      <c r="H448" s="9" t="n">
        <v>6.6</v>
      </c>
      <c r="I448" s="10" t="n">
        <v>29.465</v>
      </c>
      <c r="J448" s="11" t="n">
        <v>420891.763</v>
      </c>
      <c r="K448" s="11" t="n">
        <v>2046340.762</v>
      </c>
      <c r="L448" s="12" t="n">
        <v>18.5060692</v>
      </c>
      <c r="M448" s="12" t="n">
        <v>-69.7494223</v>
      </c>
      <c r="N448" s="7" t="n">
        <v>443</v>
      </c>
      <c r="O448" s="7" t="s">
        <v>40</v>
      </c>
      <c r="P448" s="8"/>
      <c r="Q448" s="13" t="s">
        <v>25</v>
      </c>
    </row>
    <row r="449" customFormat="false" ht="15" hidden="false" customHeight="false" outlineLevel="0" collapsed="false">
      <c r="A449" s="14" t="s">
        <v>637</v>
      </c>
      <c r="B449" s="14" t="s">
        <v>38</v>
      </c>
      <c r="C449" s="14" t="s">
        <v>6</v>
      </c>
      <c r="D449" s="15" t="s">
        <v>616</v>
      </c>
      <c r="E449" s="14"/>
      <c r="F449" s="15"/>
      <c r="G449" s="14" t="s">
        <v>636</v>
      </c>
      <c r="H449" s="16" t="n">
        <v>2.2</v>
      </c>
      <c r="I449" s="17" t="n">
        <v>29.681</v>
      </c>
      <c r="J449" s="18" t="n">
        <v>420905.992</v>
      </c>
      <c r="K449" s="18" t="n">
        <v>2046384.401</v>
      </c>
      <c r="L449" s="19" t="n">
        <v>18.5064641</v>
      </c>
      <c r="M449" s="19" t="n">
        <v>-69.7492892</v>
      </c>
      <c r="N449" s="14" t="n">
        <v>444</v>
      </c>
      <c r="O449" s="14" t="s">
        <v>40</v>
      </c>
      <c r="P449" s="15"/>
      <c r="Q449" s="20" t="s">
        <v>25</v>
      </c>
    </row>
    <row r="450" customFormat="false" ht="25.35" hidden="false" customHeight="false" outlineLevel="0" collapsed="false">
      <c r="A450" s="7" t="s">
        <v>638</v>
      </c>
      <c r="B450" s="7" t="s">
        <v>38</v>
      </c>
      <c r="C450" s="7" t="s">
        <v>29</v>
      </c>
      <c r="D450" s="8"/>
      <c r="E450" s="7" t="s">
        <v>639</v>
      </c>
      <c r="F450" s="8" t="s">
        <v>640</v>
      </c>
      <c r="G450" s="7" t="s">
        <v>639</v>
      </c>
      <c r="H450" s="9" t="n">
        <v>0</v>
      </c>
      <c r="I450" s="10" t="n">
        <v>28.366</v>
      </c>
      <c r="J450" s="11" t="n">
        <v>420506.58</v>
      </c>
      <c r="K450" s="11" t="n">
        <v>2046490.672</v>
      </c>
      <c r="L450" s="12" t="n">
        <v>18.5074095</v>
      </c>
      <c r="M450" s="12" t="n">
        <v>-69.753077</v>
      </c>
      <c r="N450" s="7" t="n">
        <v>445</v>
      </c>
      <c r="O450" s="7" t="s">
        <v>40</v>
      </c>
      <c r="P450" s="8"/>
      <c r="Q450" s="13" t="s">
        <v>25</v>
      </c>
    </row>
    <row r="451" customFormat="false" ht="25.35" hidden="false" customHeight="false" outlineLevel="0" collapsed="false">
      <c r="A451" s="14" t="s">
        <v>641</v>
      </c>
      <c r="B451" s="14" t="s">
        <v>642</v>
      </c>
      <c r="C451" s="14" t="s">
        <v>29</v>
      </c>
      <c r="D451" s="15"/>
      <c r="E451" s="14" t="s">
        <v>639</v>
      </c>
      <c r="F451" s="15" t="s">
        <v>640</v>
      </c>
      <c r="G451" s="14" t="s">
        <v>639</v>
      </c>
      <c r="H451" s="16" t="n">
        <v>0</v>
      </c>
      <c r="I451" s="17" t="n">
        <v>28.999</v>
      </c>
      <c r="J451" s="18" t="n">
        <v>420507.136</v>
      </c>
      <c r="K451" s="18" t="n">
        <v>2046520.689</v>
      </c>
      <c r="L451" s="19" t="n">
        <v>18.5076808</v>
      </c>
      <c r="M451" s="19" t="n">
        <v>-69.7530729</v>
      </c>
      <c r="N451" s="14" t="n">
        <v>445</v>
      </c>
      <c r="O451" s="14" t="s">
        <v>643</v>
      </c>
      <c r="P451" s="15" t="s">
        <v>644</v>
      </c>
      <c r="Q451" s="20" t="s">
        <v>25</v>
      </c>
    </row>
    <row r="452" customFormat="false" ht="25.35" hidden="false" customHeight="false" outlineLevel="0" collapsed="false">
      <c r="A452" s="7" t="s">
        <v>645</v>
      </c>
      <c r="B452" s="7" t="s">
        <v>38</v>
      </c>
      <c r="C452" s="7" t="s">
        <v>29</v>
      </c>
      <c r="D452" s="8"/>
      <c r="E452" s="7" t="s">
        <v>639</v>
      </c>
      <c r="F452" s="8" t="s">
        <v>640</v>
      </c>
      <c r="G452" s="7" t="s">
        <v>639</v>
      </c>
      <c r="H452" s="9" t="n">
        <v>0</v>
      </c>
      <c r="I452" s="10" t="n">
        <v>28.562</v>
      </c>
      <c r="J452" s="11" t="n">
        <v>420542.402</v>
      </c>
      <c r="K452" s="11" t="n">
        <v>2046553.033</v>
      </c>
      <c r="L452" s="12" t="n">
        <v>18.5079744</v>
      </c>
      <c r="M452" s="12" t="n">
        <v>-69.7527401</v>
      </c>
      <c r="N452" s="7" t="n">
        <v>446</v>
      </c>
      <c r="O452" s="7" t="s">
        <v>40</v>
      </c>
      <c r="P452" s="8"/>
      <c r="Q452" s="13" t="s">
        <v>25</v>
      </c>
    </row>
    <row r="453" customFormat="false" ht="25.35" hidden="false" customHeight="false" outlineLevel="0" collapsed="false">
      <c r="A453" s="14" t="s">
        <v>646</v>
      </c>
      <c r="B453" s="14" t="s">
        <v>38</v>
      </c>
      <c r="C453" s="14" t="s">
        <v>29</v>
      </c>
      <c r="D453" s="15"/>
      <c r="E453" s="14" t="s">
        <v>639</v>
      </c>
      <c r="F453" s="15" t="s">
        <v>640</v>
      </c>
      <c r="G453" s="14" t="s">
        <v>639</v>
      </c>
      <c r="H453" s="16" t="n">
        <v>0</v>
      </c>
      <c r="I453" s="17" t="n">
        <v>28.511</v>
      </c>
      <c r="J453" s="18" t="n">
        <v>420542.592</v>
      </c>
      <c r="K453" s="18" t="n">
        <v>2046575.776</v>
      </c>
      <c r="L453" s="19" t="n">
        <v>18.5081799</v>
      </c>
      <c r="M453" s="19" t="n">
        <v>-69.7527392</v>
      </c>
      <c r="N453" s="14" t="n">
        <v>447</v>
      </c>
      <c r="O453" s="14" t="s">
        <v>40</v>
      </c>
      <c r="P453" s="15"/>
      <c r="Q453" s="20" t="s">
        <v>25</v>
      </c>
    </row>
    <row r="454" customFormat="false" ht="25.35" hidden="false" customHeight="false" outlineLevel="0" collapsed="false">
      <c r="A454" s="7" t="s">
        <v>647</v>
      </c>
      <c r="B454" s="7" t="s">
        <v>38</v>
      </c>
      <c r="C454" s="7" t="s">
        <v>29</v>
      </c>
      <c r="D454" s="8"/>
      <c r="E454" s="7" t="s">
        <v>639</v>
      </c>
      <c r="F454" s="8" t="s">
        <v>640</v>
      </c>
      <c r="G454" s="7" t="s">
        <v>639</v>
      </c>
      <c r="H454" s="9" t="n">
        <v>0</v>
      </c>
      <c r="I454" s="10" t="n">
        <v>28.288</v>
      </c>
      <c r="J454" s="11" t="n">
        <v>420553.755</v>
      </c>
      <c r="K454" s="11" t="n">
        <v>2046587.61</v>
      </c>
      <c r="L454" s="12" t="n">
        <v>18.5082873</v>
      </c>
      <c r="M454" s="12" t="n">
        <v>-69.7526339</v>
      </c>
      <c r="N454" s="7" t="n">
        <v>448</v>
      </c>
      <c r="O454" s="7" t="s">
        <v>40</v>
      </c>
      <c r="P454" s="8"/>
      <c r="Q454" s="13" t="s">
        <v>25</v>
      </c>
    </row>
    <row r="455" customFormat="false" ht="25.35" hidden="false" customHeight="false" outlineLevel="0" collapsed="false">
      <c r="A455" s="14" t="s">
        <v>648</v>
      </c>
      <c r="B455" s="14" t="s">
        <v>38</v>
      </c>
      <c r="C455" s="14" t="s">
        <v>29</v>
      </c>
      <c r="D455" s="15"/>
      <c r="E455" s="14" t="s">
        <v>639</v>
      </c>
      <c r="F455" s="15" t="s">
        <v>640</v>
      </c>
      <c r="G455" s="14" t="s">
        <v>639</v>
      </c>
      <c r="H455" s="16" t="n">
        <v>0</v>
      </c>
      <c r="I455" s="17" t="n">
        <v>28.145</v>
      </c>
      <c r="J455" s="18" t="n">
        <v>420548.209</v>
      </c>
      <c r="K455" s="18" t="n">
        <v>2046610.407</v>
      </c>
      <c r="L455" s="19" t="n">
        <v>18.5084931</v>
      </c>
      <c r="M455" s="19" t="n">
        <v>-69.7526873</v>
      </c>
      <c r="N455" s="14" t="n">
        <v>449</v>
      </c>
      <c r="O455" s="14" t="s">
        <v>40</v>
      </c>
      <c r="P455" s="15"/>
      <c r="Q455" s="20" t="s">
        <v>25</v>
      </c>
    </row>
    <row r="456" customFormat="false" ht="25.35" hidden="false" customHeight="false" outlineLevel="0" collapsed="false">
      <c r="A456" s="7" t="s">
        <v>649</v>
      </c>
      <c r="B456" s="7" t="s">
        <v>38</v>
      </c>
      <c r="C456" s="7" t="s">
        <v>29</v>
      </c>
      <c r="D456" s="8"/>
      <c r="E456" s="7" t="s">
        <v>639</v>
      </c>
      <c r="F456" s="8" t="s">
        <v>640</v>
      </c>
      <c r="G456" s="7" t="s">
        <v>639</v>
      </c>
      <c r="H456" s="9" t="n">
        <v>0</v>
      </c>
      <c r="I456" s="10" t="n">
        <v>28.405</v>
      </c>
      <c r="J456" s="11" t="n">
        <v>420521.787</v>
      </c>
      <c r="K456" s="11" t="n">
        <v>2046582.582</v>
      </c>
      <c r="L456" s="12" t="n">
        <v>18.5082407</v>
      </c>
      <c r="M456" s="12" t="n">
        <v>-69.7529365</v>
      </c>
      <c r="N456" s="7" t="n">
        <v>450</v>
      </c>
      <c r="O456" s="7" t="s">
        <v>40</v>
      </c>
      <c r="P456" s="8"/>
      <c r="Q456" s="13" t="s">
        <v>25</v>
      </c>
    </row>
    <row r="457" customFormat="false" ht="25.35" hidden="false" customHeight="false" outlineLevel="0" collapsed="false">
      <c r="A457" s="14" t="s">
        <v>650</v>
      </c>
      <c r="B457" s="14" t="s">
        <v>38</v>
      </c>
      <c r="C457" s="14" t="s">
        <v>29</v>
      </c>
      <c r="D457" s="15"/>
      <c r="E457" s="14" t="s">
        <v>639</v>
      </c>
      <c r="F457" s="15" t="s">
        <v>640</v>
      </c>
      <c r="G457" s="14" t="s">
        <v>639</v>
      </c>
      <c r="H457" s="16" t="n">
        <v>0</v>
      </c>
      <c r="I457" s="17" t="n">
        <v>29.24</v>
      </c>
      <c r="J457" s="18" t="n">
        <v>420562.452</v>
      </c>
      <c r="K457" s="18" t="n">
        <v>2046470.791</v>
      </c>
      <c r="L457" s="19" t="n">
        <v>18.5072319</v>
      </c>
      <c r="M457" s="19" t="n">
        <v>-69.7525469</v>
      </c>
      <c r="N457" s="14" t="n">
        <v>451</v>
      </c>
      <c r="O457" s="14" t="s">
        <v>40</v>
      </c>
      <c r="P457" s="15"/>
      <c r="Q457" s="20" t="s">
        <v>25</v>
      </c>
    </row>
    <row r="458" customFormat="false" ht="25.35" hidden="false" customHeight="false" outlineLevel="0" collapsed="false">
      <c r="A458" s="7" t="s">
        <v>651</v>
      </c>
      <c r="B458" s="7" t="s">
        <v>38</v>
      </c>
      <c r="C458" s="7" t="s">
        <v>29</v>
      </c>
      <c r="D458" s="8"/>
      <c r="E458" s="7" t="s">
        <v>639</v>
      </c>
      <c r="F458" s="8" t="s">
        <v>640</v>
      </c>
      <c r="G458" s="7" t="s">
        <v>639</v>
      </c>
      <c r="H458" s="9" t="n">
        <v>0</v>
      </c>
      <c r="I458" s="10" t="n">
        <v>29.461</v>
      </c>
      <c r="J458" s="11" t="n">
        <v>420662.985</v>
      </c>
      <c r="K458" s="11" t="n">
        <v>2046416.496</v>
      </c>
      <c r="L458" s="12" t="n">
        <v>18.506745</v>
      </c>
      <c r="M458" s="12" t="n">
        <v>-69.7515924</v>
      </c>
      <c r="N458" s="7" t="n">
        <v>452</v>
      </c>
      <c r="O458" s="7" t="s">
        <v>40</v>
      </c>
      <c r="P458" s="8"/>
      <c r="Q458" s="13" t="s">
        <v>25</v>
      </c>
    </row>
    <row r="459" customFormat="false" ht="25.35" hidden="false" customHeight="false" outlineLevel="0" collapsed="false">
      <c r="A459" s="14" t="s">
        <v>652</v>
      </c>
      <c r="B459" s="14" t="s">
        <v>38</v>
      </c>
      <c r="C459" s="14" t="s">
        <v>29</v>
      </c>
      <c r="D459" s="15"/>
      <c r="E459" s="14" t="s">
        <v>639</v>
      </c>
      <c r="F459" s="15" t="s">
        <v>640</v>
      </c>
      <c r="G459" s="14" t="s">
        <v>639</v>
      </c>
      <c r="H459" s="16" t="n">
        <v>0</v>
      </c>
      <c r="I459" s="17" t="n">
        <v>28.063</v>
      </c>
      <c r="J459" s="18" t="n">
        <v>420491.197</v>
      </c>
      <c r="K459" s="18" t="n">
        <v>2046434.38</v>
      </c>
      <c r="L459" s="19" t="n">
        <v>18.5069002</v>
      </c>
      <c r="M459" s="19" t="n">
        <v>-69.7532205</v>
      </c>
      <c r="N459" s="14" t="n">
        <v>453</v>
      </c>
      <c r="O459" s="14" t="s">
        <v>40</v>
      </c>
      <c r="P459" s="15"/>
      <c r="Q459" s="20" t="s">
        <v>25</v>
      </c>
    </row>
    <row r="460" customFormat="false" ht="25.35" hidden="false" customHeight="false" outlineLevel="0" collapsed="false">
      <c r="A460" s="7" t="s">
        <v>653</v>
      </c>
      <c r="B460" s="7" t="s">
        <v>38</v>
      </c>
      <c r="C460" s="7" t="s">
        <v>29</v>
      </c>
      <c r="D460" s="8"/>
      <c r="E460" s="7" t="s">
        <v>639</v>
      </c>
      <c r="F460" s="8" t="s">
        <v>640</v>
      </c>
      <c r="G460" s="7" t="s">
        <v>639</v>
      </c>
      <c r="H460" s="9" t="n">
        <v>0</v>
      </c>
      <c r="I460" s="10" t="n">
        <v>28.341</v>
      </c>
      <c r="J460" s="11" t="n">
        <v>420379.671</v>
      </c>
      <c r="K460" s="11" t="n">
        <v>2046491.069</v>
      </c>
      <c r="L460" s="12" t="n">
        <v>18.5074083</v>
      </c>
      <c r="M460" s="12" t="n">
        <v>-69.7542792</v>
      </c>
      <c r="N460" s="7" t="n">
        <v>454</v>
      </c>
      <c r="O460" s="7" t="s">
        <v>40</v>
      </c>
      <c r="P460" s="8"/>
      <c r="Q460" s="13" t="s">
        <v>25</v>
      </c>
    </row>
    <row r="461" customFormat="false" ht="25.35" hidden="false" customHeight="false" outlineLevel="0" collapsed="false">
      <c r="A461" s="14" t="s">
        <v>654</v>
      </c>
      <c r="B461" s="14" t="s">
        <v>21</v>
      </c>
      <c r="C461" s="14" t="s">
        <v>29</v>
      </c>
      <c r="D461" s="15"/>
      <c r="E461" s="14" t="s">
        <v>639</v>
      </c>
      <c r="F461" s="15" t="s">
        <v>640</v>
      </c>
      <c r="G461" s="14" t="s">
        <v>639</v>
      </c>
      <c r="H461" s="16" t="n">
        <v>0</v>
      </c>
      <c r="I461" s="17" t="n">
        <v>27.795</v>
      </c>
      <c r="J461" s="18" t="n">
        <v>420397.508</v>
      </c>
      <c r="K461" s="18" t="n">
        <v>2046567.789</v>
      </c>
      <c r="L461" s="19" t="n">
        <v>18.5081023</v>
      </c>
      <c r="M461" s="19" t="n">
        <v>-69.7541132</v>
      </c>
      <c r="N461" s="14" t="n">
        <v>455</v>
      </c>
      <c r="O461" s="14" t="s">
        <v>24</v>
      </c>
      <c r="P461" s="15"/>
      <c r="Q461" s="20" t="s">
        <v>25</v>
      </c>
    </row>
    <row r="462" customFormat="false" ht="25.35" hidden="false" customHeight="false" outlineLevel="0" collapsed="false">
      <c r="A462" s="7" t="s">
        <v>655</v>
      </c>
      <c r="B462" s="7" t="s">
        <v>21</v>
      </c>
      <c r="C462" s="7" t="s">
        <v>29</v>
      </c>
      <c r="D462" s="8"/>
      <c r="E462" s="7" t="s">
        <v>639</v>
      </c>
      <c r="F462" s="8" t="s">
        <v>640</v>
      </c>
      <c r="G462" s="7" t="s">
        <v>639</v>
      </c>
      <c r="H462" s="9" t="n">
        <v>0</v>
      </c>
      <c r="I462" s="10" t="n">
        <v>27.745</v>
      </c>
      <c r="J462" s="11" t="n">
        <v>420534.297</v>
      </c>
      <c r="K462" s="11" t="n">
        <v>2046616.832</v>
      </c>
      <c r="L462" s="12" t="n">
        <v>18.5085507</v>
      </c>
      <c r="M462" s="12" t="n">
        <v>-69.7528194</v>
      </c>
      <c r="N462" s="7" t="n">
        <v>456</v>
      </c>
      <c r="O462" s="7" t="s">
        <v>24</v>
      </c>
      <c r="P462" s="8"/>
      <c r="Q462" s="13" t="s">
        <v>25</v>
      </c>
    </row>
    <row r="463" customFormat="false" ht="25.35" hidden="false" customHeight="false" outlineLevel="0" collapsed="false">
      <c r="A463" s="14" t="s">
        <v>656</v>
      </c>
      <c r="B463" s="14" t="s">
        <v>38</v>
      </c>
      <c r="C463" s="14" t="s">
        <v>29</v>
      </c>
      <c r="D463" s="15"/>
      <c r="E463" s="14" t="s">
        <v>639</v>
      </c>
      <c r="F463" s="15" t="s">
        <v>640</v>
      </c>
      <c r="G463" s="14" t="s">
        <v>639</v>
      </c>
      <c r="H463" s="16" t="n">
        <v>0</v>
      </c>
      <c r="I463" s="17" t="n">
        <v>28.354</v>
      </c>
      <c r="J463" s="18" t="n">
        <v>420708.345</v>
      </c>
      <c r="K463" s="18" t="n">
        <v>2046594.834</v>
      </c>
      <c r="L463" s="19" t="n">
        <v>18.5083584</v>
      </c>
      <c r="M463" s="19" t="n">
        <v>-69.7511698</v>
      </c>
      <c r="N463" s="14" t="n">
        <v>457</v>
      </c>
      <c r="O463" s="14" t="s">
        <v>657</v>
      </c>
      <c r="P463" s="15"/>
      <c r="Q463" s="20" t="s">
        <v>25</v>
      </c>
    </row>
    <row r="464" customFormat="false" ht="25.35" hidden="false" customHeight="false" outlineLevel="0" collapsed="false">
      <c r="A464" s="7" t="s">
        <v>658</v>
      </c>
      <c r="B464" s="7" t="s">
        <v>38</v>
      </c>
      <c r="C464" s="7" t="s">
        <v>29</v>
      </c>
      <c r="D464" s="8"/>
      <c r="E464" s="7" t="s">
        <v>639</v>
      </c>
      <c r="F464" s="8" t="s">
        <v>640</v>
      </c>
      <c r="G464" s="7" t="s">
        <v>639</v>
      </c>
      <c r="H464" s="9" t="n">
        <v>0</v>
      </c>
      <c r="I464" s="10" t="n">
        <v>28.98</v>
      </c>
      <c r="J464" s="11" t="n">
        <v>420693.03</v>
      </c>
      <c r="K464" s="11" t="n">
        <v>2046497.27</v>
      </c>
      <c r="L464" s="12" t="n">
        <v>18.5074761</v>
      </c>
      <c r="M464" s="12" t="n">
        <v>-69.751311</v>
      </c>
      <c r="N464" s="7" t="n">
        <v>458</v>
      </c>
      <c r="O464" s="7" t="s">
        <v>657</v>
      </c>
      <c r="P464" s="8"/>
      <c r="Q464" s="13" t="s">
        <v>25</v>
      </c>
    </row>
    <row r="465" customFormat="false" ht="25.35" hidden="false" customHeight="false" outlineLevel="0" collapsed="false">
      <c r="A465" s="14" t="s">
        <v>659</v>
      </c>
      <c r="B465" s="14" t="s">
        <v>38</v>
      </c>
      <c r="C465" s="14" t="s">
        <v>29</v>
      </c>
      <c r="D465" s="15"/>
      <c r="E465" s="14" t="s">
        <v>639</v>
      </c>
      <c r="F465" s="15" t="s">
        <v>640</v>
      </c>
      <c r="G465" s="14" t="s">
        <v>639</v>
      </c>
      <c r="H465" s="16" t="n">
        <v>0</v>
      </c>
      <c r="I465" s="17" t="n">
        <v>29.114</v>
      </c>
      <c r="J465" s="18" t="n">
        <v>420685.807</v>
      </c>
      <c r="K465" s="18" t="n">
        <v>2046434.073</v>
      </c>
      <c r="L465" s="19" t="n">
        <v>18.5069047</v>
      </c>
      <c r="M465" s="19" t="n">
        <v>-69.7513769</v>
      </c>
      <c r="N465" s="14" t="n">
        <v>459</v>
      </c>
      <c r="O465" s="14" t="s">
        <v>657</v>
      </c>
      <c r="P465" s="15"/>
      <c r="Q465" s="20" t="s">
        <v>25</v>
      </c>
    </row>
    <row r="466" customFormat="false" ht="15" hidden="false" customHeight="false" outlineLevel="0" collapsed="false">
      <c r="A466" s="7" t="s">
        <v>660</v>
      </c>
      <c r="B466" s="7" t="s">
        <v>38</v>
      </c>
      <c r="C466" s="7" t="s">
        <v>661</v>
      </c>
      <c r="D466" s="8"/>
      <c r="E466" s="7"/>
      <c r="F466" s="8"/>
      <c r="G466" s="7" t="s">
        <v>639</v>
      </c>
      <c r="H466" s="9" t="n">
        <v>3.7</v>
      </c>
      <c r="I466" s="10" t="n">
        <v>29.537</v>
      </c>
      <c r="J466" s="11" t="n">
        <v>420680.44</v>
      </c>
      <c r="K466" s="11" t="n">
        <v>2046402.58</v>
      </c>
      <c r="L466" s="12" t="n">
        <v>18.5066199</v>
      </c>
      <c r="M466" s="12" t="n">
        <v>-69.7514265</v>
      </c>
      <c r="N466" s="7" t="n">
        <v>460</v>
      </c>
      <c r="O466" s="7" t="s">
        <v>657</v>
      </c>
      <c r="P466" s="8"/>
      <c r="Q466" s="13" t="s">
        <v>25</v>
      </c>
    </row>
    <row r="467" customFormat="false" ht="15" hidden="false" customHeight="false" outlineLevel="0" collapsed="false">
      <c r="A467" s="14" t="s">
        <v>662</v>
      </c>
      <c r="B467" s="14" t="s">
        <v>38</v>
      </c>
      <c r="C467" s="14" t="s">
        <v>6</v>
      </c>
      <c r="D467" s="15" t="s">
        <v>88</v>
      </c>
      <c r="E467" s="14"/>
      <c r="F467" s="15"/>
      <c r="G467" s="14" t="s">
        <v>91</v>
      </c>
      <c r="H467" s="16" t="n">
        <v>3</v>
      </c>
      <c r="I467" s="17" t="n">
        <v>27.323</v>
      </c>
      <c r="J467" s="18" t="n">
        <v>421362.292</v>
      </c>
      <c r="K467" s="18" t="n">
        <v>2046499.584</v>
      </c>
      <c r="L467" s="19" t="n">
        <v>18.5075221</v>
      </c>
      <c r="M467" s="19" t="n">
        <v>-69.7449713</v>
      </c>
      <c r="N467" s="14" t="n">
        <v>461</v>
      </c>
      <c r="O467" s="14" t="s">
        <v>657</v>
      </c>
      <c r="P467" s="15"/>
      <c r="Q467" s="20" t="s">
        <v>25</v>
      </c>
    </row>
    <row r="468" customFormat="false" ht="15" hidden="false" customHeight="false" outlineLevel="0" collapsed="false">
      <c r="A468" s="7" t="s">
        <v>663</v>
      </c>
      <c r="B468" s="7" t="s">
        <v>38</v>
      </c>
      <c r="C468" s="7" t="s">
        <v>6</v>
      </c>
      <c r="D468" s="8" t="s">
        <v>88</v>
      </c>
      <c r="E468" s="7"/>
      <c r="F468" s="8"/>
      <c r="G468" s="7" t="s">
        <v>664</v>
      </c>
      <c r="H468" s="9" t="n">
        <v>4</v>
      </c>
      <c r="I468" s="10" t="n">
        <v>27.331</v>
      </c>
      <c r="J468" s="11" t="n">
        <v>421367.79</v>
      </c>
      <c r="K468" s="11" t="n">
        <v>2046509.183</v>
      </c>
      <c r="L468" s="12" t="n">
        <v>18.5076091</v>
      </c>
      <c r="M468" s="12" t="n">
        <v>-69.7449196</v>
      </c>
      <c r="N468" s="7" t="n">
        <v>462</v>
      </c>
      <c r="O468" s="7" t="s">
        <v>657</v>
      </c>
      <c r="P468" s="8"/>
      <c r="Q468" s="13" t="s">
        <v>25</v>
      </c>
    </row>
    <row r="469" customFormat="false" ht="15" hidden="false" customHeight="false" outlineLevel="0" collapsed="false">
      <c r="A469" s="14" t="s">
        <v>665</v>
      </c>
      <c r="B469" s="14" t="s">
        <v>38</v>
      </c>
      <c r="C469" s="14" t="s">
        <v>6</v>
      </c>
      <c r="D469" s="15" t="s">
        <v>88</v>
      </c>
      <c r="E469" s="14"/>
      <c r="F469" s="15"/>
      <c r="G469" s="14" t="s">
        <v>91</v>
      </c>
      <c r="H469" s="16" t="n">
        <v>3.5</v>
      </c>
      <c r="I469" s="17" t="n">
        <v>26.588</v>
      </c>
      <c r="J469" s="18" t="n">
        <v>421441.396</v>
      </c>
      <c r="K469" s="18" t="n">
        <v>2046511.337</v>
      </c>
      <c r="L469" s="19" t="n">
        <v>18.5076313</v>
      </c>
      <c r="M469" s="19" t="n">
        <v>-69.7442224</v>
      </c>
      <c r="N469" s="14" t="n">
        <v>463</v>
      </c>
      <c r="O469" s="14" t="s">
        <v>657</v>
      </c>
      <c r="P469" s="15"/>
      <c r="Q469" s="20" t="s">
        <v>25</v>
      </c>
    </row>
    <row r="470" customFormat="false" ht="15" hidden="false" customHeight="false" outlineLevel="0" collapsed="false">
      <c r="A470" s="7" t="s">
        <v>666</v>
      </c>
      <c r="B470" s="7" t="s">
        <v>38</v>
      </c>
      <c r="C470" s="7" t="s">
        <v>6</v>
      </c>
      <c r="D470" s="8" t="s">
        <v>88</v>
      </c>
      <c r="E470" s="7"/>
      <c r="F470" s="8"/>
      <c r="G470" s="7" t="s">
        <v>91</v>
      </c>
      <c r="H470" s="9" t="n">
        <v>3.5</v>
      </c>
      <c r="I470" s="10" t="n">
        <v>26.578</v>
      </c>
      <c r="J470" s="11" t="n">
        <v>421443.058</v>
      </c>
      <c r="K470" s="11" t="n">
        <v>2046512.235</v>
      </c>
      <c r="L470" s="12" t="n">
        <v>18.5076394</v>
      </c>
      <c r="M470" s="12" t="n">
        <v>-69.7442067</v>
      </c>
      <c r="N470" s="7" t="n">
        <v>464</v>
      </c>
      <c r="O470" s="7" t="s">
        <v>657</v>
      </c>
      <c r="P470" s="8"/>
      <c r="Q470" s="13" t="s">
        <v>25</v>
      </c>
    </row>
    <row r="471" customFormat="false" ht="15" hidden="false" customHeight="false" outlineLevel="0" collapsed="false">
      <c r="A471" s="14" t="s">
        <v>667</v>
      </c>
      <c r="B471" s="14" t="s">
        <v>38</v>
      </c>
      <c r="C471" s="14" t="s">
        <v>6</v>
      </c>
      <c r="D471" s="15" t="s">
        <v>88</v>
      </c>
      <c r="E471" s="14"/>
      <c r="F471" s="15"/>
      <c r="G471" s="14" t="s">
        <v>668</v>
      </c>
      <c r="H471" s="16" t="n">
        <v>5.9</v>
      </c>
      <c r="I471" s="17" t="n">
        <v>26.677</v>
      </c>
      <c r="J471" s="18" t="n">
        <v>421436.621</v>
      </c>
      <c r="K471" s="18" t="n">
        <v>2046517.345</v>
      </c>
      <c r="L471" s="19" t="n">
        <v>18.5076854</v>
      </c>
      <c r="M471" s="19" t="n">
        <v>-69.7442679</v>
      </c>
      <c r="N471" s="14" t="n">
        <v>465</v>
      </c>
      <c r="O471" s="14" t="s">
        <v>657</v>
      </c>
      <c r="P471" s="15"/>
      <c r="Q471" s="20" t="s">
        <v>25</v>
      </c>
    </row>
    <row r="472" customFormat="false" ht="15" hidden="false" customHeight="false" outlineLevel="0" collapsed="false">
      <c r="A472" s="7" t="s">
        <v>669</v>
      </c>
      <c r="B472" s="7" t="s">
        <v>38</v>
      </c>
      <c r="C472" s="7" t="s">
        <v>6</v>
      </c>
      <c r="D472" s="8" t="s">
        <v>88</v>
      </c>
      <c r="E472" s="7"/>
      <c r="F472" s="8"/>
      <c r="G472" s="7" t="s">
        <v>91</v>
      </c>
      <c r="H472" s="9" t="n">
        <v>3.6</v>
      </c>
      <c r="I472" s="10" t="n">
        <v>26.258</v>
      </c>
      <c r="J472" s="11" t="n">
        <v>421502.869</v>
      </c>
      <c r="K472" s="11" t="n">
        <v>2046545.818</v>
      </c>
      <c r="L472" s="12" t="n">
        <v>18.5079452</v>
      </c>
      <c r="M472" s="12" t="n">
        <v>-69.7436414</v>
      </c>
      <c r="N472" s="7" t="n">
        <v>466</v>
      </c>
      <c r="O472" s="7" t="s">
        <v>657</v>
      </c>
      <c r="P472" s="8"/>
      <c r="Q472" s="13" t="s">
        <v>25</v>
      </c>
    </row>
    <row r="473" customFormat="false" ht="15" hidden="false" customHeight="false" outlineLevel="0" collapsed="false">
      <c r="A473" s="14" t="s">
        <v>670</v>
      </c>
      <c r="B473" s="14" t="s">
        <v>38</v>
      </c>
      <c r="C473" s="14" t="s">
        <v>6</v>
      </c>
      <c r="D473" s="15" t="s">
        <v>88</v>
      </c>
      <c r="E473" s="14"/>
      <c r="F473" s="15"/>
      <c r="G473" s="14" t="s">
        <v>85</v>
      </c>
      <c r="H473" s="16" t="n">
        <v>3.6</v>
      </c>
      <c r="I473" s="17" t="n">
        <v>26.097</v>
      </c>
      <c r="J473" s="18" t="n">
        <v>421498.877</v>
      </c>
      <c r="K473" s="18" t="n">
        <v>2046554.679</v>
      </c>
      <c r="L473" s="19" t="n">
        <v>18.5080251</v>
      </c>
      <c r="M473" s="19" t="n">
        <v>-69.7436796</v>
      </c>
      <c r="N473" s="14" t="n">
        <v>467</v>
      </c>
      <c r="O473" s="14" t="s">
        <v>657</v>
      </c>
      <c r="P473" s="15"/>
      <c r="Q473" s="20" t="s">
        <v>25</v>
      </c>
    </row>
    <row r="474" customFormat="false" ht="15" hidden="false" customHeight="false" outlineLevel="0" collapsed="false">
      <c r="A474" s="7" t="s">
        <v>671</v>
      </c>
      <c r="B474" s="7" t="s">
        <v>38</v>
      </c>
      <c r="C474" s="7" t="s">
        <v>6</v>
      </c>
      <c r="D474" s="8" t="s">
        <v>88</v>
      </c>
      <c r="E474" s="7"/>
      <c r="F474" s="8"/>
      <c r="G474" s="7" t="s">
        <v>85</v>
      </c>
      <c r="H474" s="9" t="n">
        <v>5.7</v>
      </c>
      <c r="I474" s="10" t="n">
        <v>26.058</v>
      </c>
      <c r="J474" s="11" t="n">
        <v>421516.378</v>
      </c>
      <c r="K474" s="11" t="n">
        <v>2046562.118</v>
      </c>
      <c r="L474" s="12" t="n">
        <v>18.508093</v>
      </c>
      <c r="M474" s="12" t="n">
        <v>-69.7435141</v>
      </c>
      <c r="N474" s="7" t="n">
        <v>468</v>
      </c>
      <c r="O474" s="7" t="s">
        <v>657</v>
      </c>
      <c r="P474" s="8"/>
      <c r="Q474" s="13" t="s">
        <v>25</v>
      </c>
    </row>
    <row r="475" customFormat="false" ht="15" hidden="false" customHeight="false" outlineLevel="0" collapsed="false">
      <c r="A475" s="14" t="s">
        <v>672</v>
      </c>
      <c r="B475" s="14" t="s">
        <v>38</v>
      </c>
      <c r="C475" s="14" t="s">
        <v>6</v>
      </c>
      <c r="D475" s="15" t="s">
        <v>88</v>
      </c>
      <c r="E475" s="14"/>
      <c r="F475" s="15"/>
      <c r="G475" s="14" t="s">
        <v>91</v>
      </c>
      <c r="H475" s="16" t="n">
        <v>4.1</v>
      </c>
      <c r="I475" s="17" t="n">
        <v>26.045</v>
      </c>
      <c r="J475" s="18" t="n">
        <v>421532.673</v>
      </c>
      <c r="K475" s="18" t="n">
        <v>2046560.981</v>
      </c>
      <c r="L475" s="19" t="n">
        <v>18.5080833</v>
      </c>
      <c r="M475" s="19" t="n">
        <v>-69.7433597</v>
      </c>
      <c r="N475" s="14" t="n">
        <v>469</v>
      </c>
      <c r="O475" s="14" t="s">
        <v>657</v>
      </c>
      <c r="P475" s="15"/>
      <c r="Q475" s="20" t="s">
        <v>25</v>
      </c>
    </row>
    <row r="476" customFormat="false" ht="15" hidden="false" customHeight="false" outlineLevel="0" collapsed="false">
      <c r="A476" s="7" t="s">
        <v>673</v>
      </c>
      <c r="B476" s="7" t="s">
        <v>21</v>
      </c>
      <c r="C476" s="7" t="s">
        <v>6</v>
      </c>
      <c r="D476" s="8" t="s">
        <v>88</v>
      </c>
      <c r="E476" s="7"/>
      <c r="F476" s="8"/>
      <c r="G476" s="7" t="s">
        <v>91</v>
      </c>
      <c r="H476" s="9" t="n">
        <v>6.6</v>
      </c>
      <c r="I476" s="10" t="n">
        <v>25.625</v>
      </c>
      <c r="J476" s="11" t="n">
        <v>421585.649</v>
      </c>
      <c r="K476" s="11" t="n">
        <v>2046571.135</v>
      </c>
      <c r="L476" s="12" t="n">
        <v>18.5081771</v>
      </c>
      <c r="M476" s="12" t="n">
        <v>-69.7428582</v>
      </c>
      <c r="N476" s="7" t="n">
        <v>470</v>
      </c>
      <c r="O476" s="7" t="s">
        <v>21</v>
      </c>
      <c r="P476" s="8"/>
      <c r="Q476" s="13" t="s">
        <v>25</v>
      </c>
    </row>
    <row r="477" customFormat="false" ht="15" hidden="false" customHeight="false" outlineLevel="0" collapsed="false">
      <c r="A477" s="14" t="s">
        <v>674</v>
      </c>
      <c r="B477" s="14" t="s">
        <v>21</v>
      </c>
      <c r="C477" s="14" t="s">
        <v>6</v>
      </c>
      <c r="D477" s="15" t="s">
        <v>88</v>
      </c>
      <c r="E477" s="14"/>
      <c r="F477" s="15"/>
      <c r="G477" s="14" t="s">
        <v>91</v>
      </c>
      <c r="H477" s="16" t="n">
        <v>3.5</v>
      </c>
      <c r="I477" s="17" t="n">
        <v>25.551</v>
      </c>
      <c r="J477" s="18" t="n">
        <v>421637.091</v>
      </c>
      <c r="K477" s="18" t="n">
        <v>2046621.05</v>
      </c>
      <c r="L477" s="19" t="n">
        <v>18.5086301</v>
      </c>
      <c r="M477" s="19" t="n">
        <v>-69.7423729</v>
      </c>
      <c r="N477" s="14" t="n">
        <v>471</v>
      </c>
      <c r="O477" s="14" t="s">
        <v>21</v>
      </c>
      <c r="P477" s="15"/>
      <c r="Q477" s="20" t="s">
        <v>25</v>
      </c>
    </row>
    <row r="478" customFormat="false" ht="15" hidden="false" customHeight="false" outlineLevel="0" collapsed="false">
      <c r="A478" s="7" t="s">
        <v>675</v>
      </c>
      <c r="B478" s="7" t="s">
        <v>38</v>
      </c>
      <c r="C478" s="7" t="s">
        <v>6</v>
      </c>
      <c r="D478" s="8" t="s">
        <v>88</v>
      </c>
      <c r="E478" s="7"/>
      <c r="F478" s="8"/>
      <c r="G478" s="7" t="s">
        <v>85</v>
      </c>
      <c r="H478" s="9" t="n">
        <v>3.6</v>
      </c>
      <c r="I478" s="10" t="n">
        <v>25.647</v>
      </c>
      <c r="J478" s="11" t="n">
        <v>421628.376</v>
      </c>
      <c r="K478" s="11" t="n">
        <v>2046627.426</v>
      </c>
      <c r="L478" s="12" t="n">
        <v>18.5086874</v>
      </c>
      <c r="M478" s="12" t="n">
        <v>-69.7424557</v>
      </c>
      <c r="N478" s="7" t="n">
        <v>472</v>
      </c>
      <c r="O478" s="7" t="s">
        <v>657</v>
      </c>
      <c r="P478" s="8"/>
      <c r="Q478" s="13" t="s">
        <v>25</v>
      </c>
    </row>
  </sheetData>
  <autoFilter ref="A5:Q478"/>
  <conditionalFormatting sqref="B6:B478">
    <cfRule type="expression" priority="2" aboveAverage="0" equalAverage="0" bottom="0" percent="0" rank="0" text="" dxfId="15">
      <formula>$B6="Filtrante simple"</formula>
    </cfRule>
    <cfRule type="expression" priority="3" aboveAverage="0" equalAverage="0" bottom="0" percent="0" rank="0" text="" dxfId="16">
      <formula>$B6="Filtrante doble"</formula>
    </cfRule>
    <cfRule type="expression" priority="4" aboveAverage="0" equalAverage="0" bottom="0" percent="0" rank="0" text="" dxfId="17">
      <formula>$B6="Filtrante tipo «A» (por confirmar)"</formula>
    </cfRule>
    <cfRule type="expression" priority="5" aboveAverage="0" equalAverage="0" bottom="0" percent="0" rank="0" text="" dxfId="18">
      <formula>$B6="Cisterna (PG)"</formula>
    </cfRule>
  </conditionalFormatting>
  <conditionalFormatting sqref="P6:P478">
    <cfRule type="expression" priority="6" aboveAverage="0" equalAverage="0" bottom="0" percent="0" rank="0" text="" dxfId="19">
      <formula>LEN($P6)&gt;0</formula>
    </cfRule>
  </conditionalFormatting>
  <hyperlinks>
    <hyperlink ref="Q6" r:id="rId1" display="Ver ↗"/>
    <hyperlink ref="Q7" r:id="rId2" display="Ver ↗"/>
    <hyperlink ref="Q8" r:id="rId3" display="Ver ↗"/>
    <hyperlink ref="Q9" r:id="rId4" display="Ver ↗"/>
    <hyperlink ref="Q10" r:id="rId5" display="Ver ↗"/>
    <hyperlink ref="Q11" r:id="rId6" display="Ver ↗"/>
    <hyperlink ref="Q12" r:id="rId7" display="Ver ↗"/>
    <hyperlink ref="Q13" r:id="rId8" display="Ver ↗"/>
    <hyperlink ref="Q14" r:id="rId9" display="Ver ↗"/>
    <hyperlink ref="Q15" r:id="rId10" display="Ver ↗"/>
    <hyperlink ref="Q16" r:id="rId11" display="Ver ↗"/>
    <hyperlink ref="Q17" r:id="rId12" display="Ver ↗"/>
    <hyperlink ref="Q18" r:id="rId13" display="Ver ↗"/>
    <hyperlink ref="Q19" r:id="rId14" display="Ver ↗"/>
    <hyperlink ref="Q20" r:id="rId15" display="Ver ↗"/>
    <hyperlink ref="Q21" r:id="rId16" display="Ver ↗"/>
    <hyperlink ref="Q22" r:id="rId17" display="Ver ↗"/>
    <hyperlink ref="Q23" r:id="rId18" display="Ver ↗"/>
    <hyperlink ref="Q24" r:id="rId19" display="Ver ↗"/>
    <hyperlink ref="Q25" r:id="rId20" display="Ver ↗"/>
    <hyperlink ref="Q26" r:id="rId21" display="Ver ↗"/>
    <hyperlink ref="Q27" r:id="rId22" display="Ver ↗"/>
    <hyperlink ref="Q28" r:id="rId23" display="Ver ↗"/>
    <hyperlink ref="Q29" r:id="rId24" display="Ver ↗"/>
    <hyperlink ref="Q30" r:id="rId25" display="Ver ↗"/>
    <hyperlink ref="Q31" r:id="rId26" display="Ver ↗"/>
    <hyperlink ref="Q32" r:id="rId27" display="Ver ↗"/>
    <hyperlink ref="Q33" r:id="rId28" display="Ver ↗"/>
    <hyperlink ref="Q34" r:id="rId29" display="Ver ↗"/>
    <hyperlink ref="Q35" r:id="rId30" display="Ver ↗"/>
    <hyperlink ref="Q36" r:id="rId31" display="Ver ↗"/>
    <hyperlink ref="Q37" r:id="rId32" display="Ver ↗"/>
    <hyperlink ref="Q38" r:id="rId33" display="Ver ↗"/>
    <hyperlink ref="Q39" r:id="rId34" display="Ver ↗"/>
    <hyperlink ref="Q40" r:id="rId35" display="Ver ↗"/>
    <hyperlink ref="Q41" r:id="rId36" display="Ver ↗"/>
    <hyperlink ref="Q42" r:id="rId37" display="Ver ↗"/>
    <hyperlink ref="Q43" r:id="rId38" display="Ver ↗"/>
    <hyperlink ref="Q44" r:id="rId39" display="Ver ↗"/>
    <hyperlink ref="Q45" r:id="rId40" display="Ver ↗"/>
    <hyperlink ref="Q46" r:id="rId41" display="Ver ↗"/>
    <hyperlink ref="Q47" r:id="rId42" display="Ver ↗"/>
    <hyperlink ref="Q48" r:id="rId43" display="Ver ↗"/>
    <hyperlink ref="Q49" r:id="rId44" display="Ver ↗"/>
    <hyperlink ref="Q50" r:id="rId45" display="Ver ↗"/>
    <hyperlink ref="Q51" r:id="rId46" display="Ver ↗"/>
    <hyperlink ref="Q52" r:id="rId47" display="Ver ↗"/>
    <hyperlink ref="Q53" r:id="rId48" display="Ver ↗"/>
    <hyperlink ref="Q54" r:id="rId49" display="Ver ↗"/>
    <hyperlink ref="Q55" r:id="rId50" display="Ver ↗"/>
    <hyperlink ref="Q56" r:id="rId51" display="Ver ↗"/>
    <hyperlink ref="Q57" r:id="rId52" display="Ver ↗"/>
    <hyperlink ref="Q58" r:id="rId53" display="Ver ↗"/>
    <hyperlink ref="Q59" r:id="rId54" display="Ver ↗"/>
    <hyperlink ref="Q60" r:id="rId55" display="Ver ↗"/>
    <hyperlink ref="Q61" r:id="rId56" display="Ver ↗"/>
    <hyperlink ref="Q62" r:id="rId57" display="Ver ↗"/>
    <hyperlink ref="Q63" r:id="rId58" display="Ver ↗"/>
    <hyperlink ref="Q64" r:id="rId59" display="Ver ↗"/>
    <hyperlink ref="Q65" r:id="rId60" display="Ver ↗"/>
    <hyperlink ref="Q66" r:id="rId61" display="Ver ↗"/>
    <hyperlink ref="Q67" r:id="rId62" display="Ver ↗"/>
    <hyperlink ref="Q68" r:id="rId63" display="Ver ↗"/>
    <hyperlink ref="Q69" r:id="rId64" display="Ver ↗"/>
    <hyperlink ref="Q70" r:id="rId65" display="Ver ↗"/>
    <hyperlink ref="Q71" r:id="rId66" display="Ver ↗"/>
    <hyperlink ref="Q72" r:id="rId67" display="Ver ↗"/>
    <hyperlink ref="Q73" r:id="rId68" display="Ver ↗"/>
    <hyperlink ref="Q74" r:id="rId69" display="Ver ↗"/>
    <hyperlink ref="Q75" r:id="rId70" display="Ver ↗"/>
    <hyperlink ref="Q76" r:id="rId71" display="Ver ↗"/>
    <hyperlink ref="Q77" r:id="rId72" display="Ver ↗"/>
    <hyperlink ref="Q78" r:id="rId73" display="Ver ↗"/>
    <hyperlink ref="Q79" r:id="rId74" display="Ver ↗"/>
    <hyperlink ref="Q80" r:id="rId75" display="Ver ↗"/>
    <hyperlink ref="Q81" r:id="rId76" display="Ver ↗"/>
    <hyperlink ref="Q82" r:id="rId77" display="Ver ↗"/>
    <hyperlink ref="Q83" r:id="rId78" display="Ver ↗"/>
    <hyperlink ref="Q84" r:id="rId79" display="Ver ↗"/>
    <hyperlink ref="Q85" r:id="rId80" display="Ver ↗"/>
    <hyperlink ref="Q86" r:id="rId81" display="Ver ↗"/>
    <hyperlink ref="Q87" r:id="rId82" display="Ver ↗"/>
    <hyperlink ref="Q88" r:id="rId83" display="Ver ↗"/>
    <hyperlink ref="Q89" r:id="rId84" display="Ver ↗"/>
    <hyperlink ref="Q90" r:id="rId85" display="Ver ↗"/>
    <hyperlink ref="Q91" r:id="rId86" display="Ver ↗"/>
    <hyperlink ref="Q92" r:id="rId87" display="Ver ↗"/>
    <hyperlink ref="Q93" r:id="rId88" display="Ver ↗"/>
    <hyperlink ref="Q94" r:id="rId89" display="Ver ↗"/>
    <hyperlink ref="Q95" r:id="rId90" display="Ver ↗"/>
    <hyperlink ref="Q96" r:id="rId91" display="Ver ↗"/>
    <hyperlink ref="Q97" r:id="rId92" display="Ver ↗"/>
    <hyperlink ref="Q98" r:id="rId93" display="Ver ↗"/>
    <hyperlink ref="Q99" r:id="rId94" display="Ver ↗"/>
    <hyperlink ref="Q100" r:id="rId95" display="Ver ↗"/>
    <hyperlink ref="Q101" r:id="rId96" display="Ver ↗"/>
    <hyperlink ref="Q102" r:id="rId97" display="Ver ↗"/>
    <hyperlink ref="Q103" r:id="rId98" display="Ver ↗"/>
    <hyperlink ref="Q104" r:id="rId99" display="Ver ↗"/>
    <hyperlink ref="Q105" r:id="rId100" display="Ver ↗"/>
    <hyperlink ref="Q106" r:id="rId101" display="Ver ↗"/>
    <hyperlink ref="Q107" r:id="rId102" display="Ver ↗"/>
    <hyperlink ref="Q108" r:id="rId103" display="Ver ↗"/>
    <hyperlink ref="Q109" r:id="rId104" display="Ver ↗"/>
    <hyperlink ref="Q110" r:id="rId105" display="Ver ↗"/>
    <hyperlink ref="Q111" r:id="rId106" display="Ver ↗"/>
    <hyperlink ref="Q112" r:id="rId107" display="Ver ↗"/>
    <hyperlink ref="Q113" r:id="rId108" display="Ver ↗"/>
    <hyperlink ref="Q114" r:id="rId109" display="Ver ↗"/>
    <hyperlink ref="Q115" r:id="rId110" display="Ver ↗"/>
    <hyperlink ref="Q116" r:id="rId111" display="Ver ↗"/>
    <hyperlink ref="Q117" r:id="rId112" display="Ver ↗"/>
    <hyperlink ref="Q118" r:id="rId113" display="Ver ↗"/>
    <hyperlink ref="Q119" r:id="rId114" display="Ver ↗"/>
    <hyperlink ref="Q120" r:id="rId115" display="Ver ↗"/>
    <hyperlink ref="Q121" r:id="rId116" display="Ver ↗"/>
    <hyperlink ref="Q122" r:id="rId117" display="Ver ↗"/>
    <hyperlink ref="Q123" r:id="rId118" display="Ver ↗"/>
    <hyperlink ref="Q124" r:id="rId119" display="Ver ↗"/>
    <hyperlink ref="Q125" r:id="rId120" display="Ver ↗"/>
    <hyperlink ref="Q126" r:id="rId121" display="Ver ↗"/>
    <hyperlink ref="Q127" r:id="rId122" display="Ver ↗"/>
    <hyperlink ref="Q128" r:id="rId123" display="Ver ↗"/>
    <hyperlink ref="Q129" r:id="rId124" display="Ver ↗"/>
    <hyperlink ref="Q130" r:id="rId125" display="Ver ↗"/>
    <hyperlink ref="Q131" r:id="rId126" display="Ver ↗"/>
    <hyperlink ref="Q132" r:id="rId127" display="Ver ↗"/>
    <hyperlink ref="Q133" r:id="rId128" display="Ver ↗"/>
    <hyperlink ref="Q134" r:id="rId129" display="Ver ↗"/>
    <hyperlink ref="Q135" r:id="rId130" display="Ver ↗"/>
    <hyperlink ref="Q136" r:id="rId131" display="Ver ↗"/>
    <hyperlink ref="Q137" r:id="rId132" display="Ver ↗"/>
    <hyperlink ref="Q138" r:id="rId133" display="Ver ↗"/>
    <hyperlink ref="Q139" r:id="rId134" display="Ver ↗"/>
    <hyperlink ref="Q140" r:id="rId135" display="Ver ↗"/>
    <hyperlink ref="Q141" r:id="rId136" display="Ver ↗"/>
    <hyperlink ref="Q142" r:id="rId137" display="Ver ↗"/>
    <hyperlink ref="Q143" r:id="rId138" display="Ver ↗"/>
    <hyperlink ref="Q144" r:id="rId139" display="Ver ↗"/>
    <hyperlink ref="Q145" r:id="rId140" display="Ver ↗"/>
    <hyperlink ref="Q146" r:id="rId141" display="Ver ↗"/>
    <hyperlink ref="Q147" r:id="rId142" display="Ver ↗"/>
    <hyperlink ref="Q148" r:id="rId143" display="Ver ↗"/>
    <hyperlink ref="Q149" r:id="rId144" display="Ver ↗"/>
    <hyperlink ref="Q150" r:id="rId145" display="Ver ↗"/>
    <hyperlink ref="Q151" r:id="rId146" display="Ver ↗"/>
    <hyperlink ref="Q152" r:id="rId147" display="Ver ↗"/>
    <hyperlink ref="Q153" r:id="rId148" display="Ver ↗"/>
    <hyperlink ref="Q154" r:id="rId149" display="Ver ↗"/>
    <hyperlink ref="Q155" r:id="rId150" display="Ver ↗"/>
    <hyperlink ref="Q156" r:id="rId151" display="Ver ↗"/>
    <hyperlink ref="Q157" r:id="rId152" display="Ver ↗"/>
    <hyperlink ref="Q158" r:id="rId153" display="Ver ↗"/>
    <hyperlink ref="Q159" r:id="rId154" display="Ver ↗"/>
    <hyperlink ref="Q160" r:id="rId155" display="Ver ↗"/>
    <hyperlink ref="Q161" r:id="rId156" display="Ver ↗"/>
    <hyperlink ref="Q162" r:id="rId157" display="Ver ↗"/>
    <hyperlink ref="Q163" r:id="rId158" display="Ver ↗"/>
    <hyperlink ref="Q164" r:id="rId159" display="Ver ↗"/>
    <hyperlink ref="Q165" r:id="rId160" display="Ver ↗"/>
    <hyperlink ref="Q166" r:id="rId161" display="Ver ↗"/>
    <hyperlink ref="Q167" r:id="rId162" display="Ver ↗"/>
    <hyperlink ref="Q168" r:id="rId163" display="Ver ↗"/>
    <hyperlink ref="Q169" r:id="rId164" display="Ver ↗"/>
    <hyperlink ref="Q170" r:id="rId165" display="Ver ↗"/>
    <hyperlink ref="Q171" r:id="rId166" display="Ver ↗"/>
    <hyperlink ref="Q172" r:id="rId167" display="Ver ↗"/>
    <hyperlink ref="Q173" r:id="rId168" display="Ver ↗"/>
    <hyperlink ref="Q174" r:id="rId169" display="Ver ↗"/>
    <hyperlink ref="Q175" r:id="rId170" display="Ver ↗"/>
    <hyperlink ref="Q176" r:id="rId171" display="Ver ↗"/>
    <hyperlink ref="Q177" r:id="rId172" display="Ver ↗"/>
    <hyperlink ref="Q178" r:id="rId173" display="Ver ↗"/>
    <hyperlink ref="Q179" r:id="rId174" display="Ver ↗"/>
    <hyperlink ref="Q180" r:id="rId175" display="Ver ↗"/>
    <hyperlink ref="Q181" r:id="rId176" display="Ver ↗"/>
    <hyperlink ref="Q182" r:id="rId177" display="Ver ↗"/>
    <hyperlink ref="Q183" r:id="rId178" display="Ver ↗"/>
    <hyperlink ref="Q184" r:id="rId179" display="Ver ↗"/>
    <hyperlink ref="Q185" r:id="rId180" display="Ver ↗"/>
    <hyperlink ref="Q186" r:id="rId181" display="Ver ↗"/>
    <hyperlink ref="Q187" r:id="rId182" display="Ver ↗"/>
    <hyperlink ref="Q188" r:id="rId183" display="Ver ↗"/>
    <hyperlink ref="Q189" r:id="rId184" display="Ver ↗"/>
    <hyperlink ref="Q190" r:id="rId185" display="Ver ↗"/>
    <hyperlink ref="Q191" r:id="rId186" display="Ver ↗"/>
    <hyperlink ref="Q192" r:id="rId187" display="Ver ↗"/>
    <hyperlink ref="Q193" r:id="rId188" display="Ver ↗"/>
    <hyperlink ref="Q194" r:id="rId189" display="Ver ↗"/>
    <hyperlink ref="Q195" r:id="rId190" display="Ver ↗"/>
    <hyperlink ref="Q196" r:id="rId191" display="Ver ↗"/>
    <hyperlink ref="Q197" r:id="rId192" display="Ver ↗"/>
    <hyperlink ref="Q198" r:id="rId193" display="Ver ↗"/>
    <hyperlink ref="Q199" r:id="rId194" display="Ver ↗"/>
    <hyperlink ref="Q200" r:id="rId195" display="Ver ↗"/>
    <hyperlink ref="Q201" r:id="rId196" display="Ver ↗"/>
    <hyperlink ref="Q202" r:id="rId197" display="Ver ↗"/>
    <hyperlink ref="Q203" r:id="rId198" display="Ver ↗"/>
    <hyperlink ref="Q204" r:id="rId199" display="Ver ↗"/>
    <hyperlink ref="Q205" r:id="rId200" display="Ver ↗"/>
    <hyperlink ref="Q206" r:id="rId201" display="Ver ↗"/>
    <hyperlink ref="Q207" r:id="rId202" display="Ver ↗"/>
    <hyperlink ref="Q208" r:id="rId203" display="Ver ↗"/>
    <hyperlink ref="Q209" r:id="rId204" display="Ver ↗"/>
    <hyperlink ref="Q210" r:id="rId205" display="Ver ↗"/>
    <hyperlink ref="Q211" r:id="rId206" display="Ver ↗"/>
    <hyperlink ref="Q212" r:id="rId207" display="Ver ↗"/>
    <hyperlink ref="Q213" r:id="rId208" display="Ver ↗"/>
    <hyperlink ref="Q214" r:id="rId209" display="Ver ↗"/>
    <hyperlink ref="Q215" r:id="rId210" display="Ver ↗"/>
    <hyperlink ref="Q216" r:id="rId211" display="Ver ↗"/>
    <hyperlink ref="Q217" r:id="rId212" display="Ver ↗"/>
    <hyperlink ref="Q218" r:id="rId213" display="Ver ↗"/>
    <hyperlink ref="Q219" r:id="rId214" display="Ver ↗"/>
    <hyperlink ref="Q220" r:id="rId215" display="Ver ↗"/>
    <hyperlink ref="Q221" r:id="rId216" display="Ver ↗"/>
    <hyperlink ref="Q222" r:id="rId217" display="Ver ↗"/>
    <hyperlink ref="Q223" r:id="rId218" display="Ver ↗"/>
    <hyperlink ref="Q224" r:id="rId219" display="Ver ↗"/>
    <hyperlink ref="Q225" r:id="rId220" display="Ver ↗"/>
    <hyperlink ref="Q226" r:id="rId221" display="Ver ↗"/>
    <hyperlink ref="Q227" r:id="rId222" display="Ver ↗"/>
    <hyperlink ref="Q228" r:id="rId223" display="Ver ↗"/>
    <hyperlink ref="Q229" r:id="rId224" display="Ver ↗"/>
    <hyperlink ref="Q230" r:id="rId225" display="Ver ↗"/>
    <hyperlink ref="Q231" r:id="rId226" display="Ver ↗"/>
    <hyperlink ref="Q232" r:id="rId227" display="Ver ↗"/>
    <hyperlink ref="Q233" r:id="rId228" display="Ver ↗"/>
    <hyperlink ref="Q234" r:id="rId229" display="Ver ↗"/>
    <hyperlink ref="Q235" r:id="rId230" display="Ver ↗"/>
    <hyperlink ref="Q236" r:id="rId231" display="Ver ↗"/>
    <hyperlink ref="Q237" r:id="rId232" display="Ver ↗"/>
    <hyperlink ref="Q238" r:id="rId233" display="Ver ↗"/>
    <hyperlink ref="Q239" r:id="rId234" display="Ver ↗"/>
    <hyperlink ref="Q240" r:id="rId235" display="Ver ↗"/>
    <hyperlink ref="Q241" r:id="rId236" display="Ver ↗"/>
    <hyperlink ref="Q242" r:id="rId237" display="Ver ↗"/>
    <hyperlink ref="Q243" r:id="rId238" display="Ver ↗"/>
    <hyperlink ref="Q244" r:id="rId239" display="Ver ↗"/>
    <hyperlink ref="Q245" r:id="rId240" display="Ver ↗"/>
    <hyperlink ref="Q246" r:id="rId241" display="Ver ↗"/>
    <hyperlink ref="Q247" r:id="rId242" display="Ver ↗"/>
    <hyperlink ref="Q248" r:id="rId243" display="Ver ↗"/>
    <hyperlink ref="Q249" r:id="rId244" display="Ver ↗"/>
    <hyperlink ref="Q250" r:id="rId245" display="Ver ↗"/>
    <hyperlink ref="Q251" r:id="rId246" display="Ver ↗"/>
    <hyperlink ref="Q252" r:id="rId247" display="Ver ↗"/>
    <hyperlink ref="Q253" r:id="rId248" display="Ver ↗"/>
    <hyperlink ref="Q254" r:id="rId249" display="Ver ↗"/>
    <hyperlink ref="Q255" r:id="rId250" display="Ver ↗"/>
    <hyperlink ref="Q256" r:id="rId251" display="Ver ↗"/>
    <hyperlink ref="Q257" r:id="rId252" display="Ver ↗"/>
    <hyperlink ref="Q258" r:id="rId253" display="Ver ↗"/>
    <hyperlink ref="Q259" r:id="rId254" display="Ver ↗"/>
    <hyperlink ref="Q260" r:id="rId255" display="Ver ↗"/>
    <hyperlink ref="Q261" r:id="rId256" display="Ver ↗"/>
    <hyperlink ref="Q262" r:id="rId257" display="Ver ↗"/>
    <hyperlink ref="Q263" r:id="rId258" display="Ver ↗"/>
    <hyperlink ref="Q264" r:id="rId259" display="Ver ↗"/>
    <hyperlink ref="Q265" r:id="rId260" display="Ver ↗"/>
    <hyperlink ref="Q266" r:id="rId261" display="Ver ↗"/>
    <hyperlink ref="Q267" r:id="rId262" display="Ver ↗"/>
    <hyperlink ref="Q268" r:id="rId263" display="Ver ↗"/>
    <hyperlink ref="Q269" r:id="rId264" display="Ver ↗"/>
    <hyperlink ref="Q270" r:id="rId265" display="Ver ↗"/>
    <hyperlink ref="Q271" r:id="rId266" display="Ver ↗"/>
    <hyperlink ref="Q272" r:id="rId267" display="Ver ↗"/>
    <hyperlink ref="Q273" r:id="rId268" display="Ver ↗"/>
    <hyperlink ref="Q274" r:id="rId269" display="Ver ↗"/>
    <hyperlink ref="Q275" r:id="rId270" display="Ver ↗"/>
    <hyperlink ref="Q276" r:id="rId271" display="Ver ↗"/>
    <hyperlink ref="Q277" r:id="rId272" display="Ver ↗"/>
    <hyperlink ref="Q278" r:id="rId273" display="Ver ↗"/>
    <hyperlink ref="Q279" r:id="rId274" display="Ver ↗"/>
    <hyperlink ref="Q280" r:id="rId275" display="Ver ↗"/>
    <hyperlink ref="Q281" r:id="rId276" display="Ver ↗"/>
    <hyperlink ref="Q282" r:id="rId277" display="Ver ↗"/>
    <hyperlink ref="Q283" r:id="rId278" display="Ver ↗"/>
    <hyperlink ref="Q284" r:id="rId279" display="Ver ↗"/>
    <hyperlink ref="Q285" r:id="rId280" display="Ver ↗"/>
    <hyperlink ref="Q286" r:id="rId281" display="Ver ↗"/>
    <hyperlink ref="Q287" r:id="rId282" display="Ver ↗"/>
    <hyperlink ref="Q288" r:id="rId283" display="Ver ↗"/>
    <hyperlink ref="Q289" r:id="rId284" display="Ver ↗"/>
    <hyperlink ref="Q290" r:id="rId285" display="Ver ↗"/>
    <hyperlink ref="Q291" r:id="rId286" display="Ver ↗"/>
    <hyperlink ref="Q292" r:id="rId287" display="Ver ↗"/>
    <hyperlink ref="Q293" r:id="rId288" display="Ver ↗"/>
    <hyperlink ref="Q294" r:id="rId289" display="Ver ↗"/>
    <hyperlink ref="Q295" r:id="rId290" display="Ver ↗"/>
    <hyperlink ref="Q296" r:id="rId291" display="Ver ↗"/>
    <hyperlink ref="Q297" r:id="rId292" display="Ver ↗"/>
    <hyperlink ref="Q298" r:id="rId293" display="Ver ↗"/>
    <hyperlink ref="Q299" r:id="rId294" display="Ver ↗"/>
    <hyperlink ref="Q300" r:id="rId295" display="Ver ↗"/>
    <hyperlink ref="Q301" r:id="rId296" display="Ver ↗"/>
    <hyperlink ref="Q302" r:id="rId297" display="Ver ↗"/>
    <hyperlink ref="Q303" r:id="rId298" display="Ver ↗"/>
    <hyperlink ref="Q304" r:id="rId299" display="Ver ↗"/>
    <hyperlink ref="Q305" r:id="rId300" display="Ver ↗"/>
    <hyperlink ref="Q306" r:id="rId301" display="Ver ↗"/>
    <hyperlink ref="Q307" r:id="rId302" display="Ver ↗"/>
    <hyperlink ref="Q308" r:id="rId303" display="Ver ↗"/>
    <hyperlink ref="Q309" r:id="rId304" display="Ver ↗"/>
    <hyperlink ref="Q310" r:id="rId305" display="Ver ↗"/>
    <hyperlink ref="Q311" r:id="rId306" display="Ver ↗"/>
    <hyperlink ref="Q312" r:id="rId307" display="Ver ↗"/>
    <hyperlink ref="Q313" r:id="rId308" display="Ver ↗"/>
    <hyperlink ref="Q314" r:id="rId309" display="Ver ↗"/>
    <hyperlink ref="Q315" r:id="rId310" display="Ver ↗"/>
    <hyperlink ref="Q316" r:id="rId311" display="Ver ↗"/>
    <hyperlink ref="Q317" r:id="rId312" display="Ver ↗"/>
    <hyperlink ref="Q318" r:id="rId313" display="Ver ↗"/>
    <hyperlink ref="Q319" r:id="rId314" display="Ver ↗"/>
    <hyperlink ref="Q320" r:id="rId315" display="Ver ↗"/>
    <hyperlink ref="Q321" r:id="rId316" display="Ver ↗"/>
    <hyperlink ref="Q322" r:id="rId317" display="Ver ↗"/>
    <hyperlink ref="Q323" r:id="rId318" display="Ver ↗"/>
    <hyperlink ref="Q324" r:id="rId319" display="Ver ↗"/>
    <hyperlink ref="Q325" r:id="rId320" display="Ver ↗"/>
    <hyperlink ref="Q326" r:id="rId321" display="Ver ↗"/>
    <hyperlink ref="Q327" r:id="rId322" display="Ver ↗"/>
    <hyperlink ref="Q328" r:id="rId323" display="Ver ↗"/>
    <hyperlink ref="Q329" r:id="rId324" display="Ver ↗"/>
    <hyperlink ref="Q330" r:id="rId325" display="Ver ↗"/>
    <hyperlink ref="Q331" r:id="rId326" display="Ver ↗"/>
    <hyperlink ref="Q332" r:id="rId327" display="Ver ↗"/>
    <hyperlink ref="Q333" r:id="rId328" display="Ver ↗"/>
    <hyperlink ref="Q334" r:id="rId329" display="Ver ↗"/>
    <hyperlink ref="Q335" r:id="rId330" display="Ver ↗"/>
    <hyperlink ref="Q336" r:id="rId331" display="Ver ↗"/>
    <hyperlink ref="Q337" r:id="rId332" display="Ver ↗"/>
    <hyperlink ref="Q338" r:id="rId333" display="Ver ↗"/>
    <hyperlink ref="Q339" r:id="rId334" display="Ver ↗"/>
    <hyperlink ref="Q340" r:id="rId335" display="Ver ↗"/>
    <hyperlink ref="Q341" r:id="rId336" display="Ver ↗"/>
    <hyperlink ref="Q342" r:id="rId337" display="Ver ↗"/>
    <hyperlink ref="Q343" r:id="rId338" display="Ver ↗"/>
    <hyperlink ref="Q344" r:id="rId339" display="Ver ↗"/>
    <hyperlink ref="Q345" r:id="rId340" display="Ver ↗"/>
    <hyperlink ref="Q346" r:id="rId341" display="Ver ↗"/>
    <hyperlink ref="Q347" r:id="rId342" display="Ver ↗"/>
    <hyperlink ref="Q348" r:id="rId343" display="Ver ↗"/>
    <hyperlink ref="Q349" r:id="rId344" display="Ver ↗"/>
    <hyperlink ref="Q350" r:id="rId345" display="Ver ↗"/>
    <hyperlink ref="Q351" r:id="rId346" display="Ver ↗"/>
    <hyperlink ref="Q352" r:id="rId347" display="Ver ↗"/>
    <hyperlink ref="Q353" r:id="rId348" display="Ver ↗"/>
    <hyperlink ref="Q354" r:id="rId349" display="Ver ↗"/>
    <hyperlink ref="Q355" r:id="rId350" display="Ver ↗"/>
    <hyperlink ref="Q356" r:id="rId351" display="Ver ↗"/>
    <hyperlink ref="Q357" r:id="rId352" display="Ver ↗"/>
    <hyperlink ref="Q358" r:id="rId353" display="Ver ↗"/>
    <hyperlink ref="Q359" r:id="rId354" display="Ver ↗"/>
    <hyperlink ref="Q360" r:id="rId355" display="Ver ↗"/>
    <hyperlink ref="Q361" r:id="rId356" display="Ver ↗"/>
    <hyperlink ref="Q362" r:id="rId357" display="Ver ↗"/>
    <hyperlink ref="Q363" r:id="rId358" display="Ver ↗"/>
    <hyperlink ref="Q364" r:id="rId359" display="Ver ↗"/>
    <hyperlink ref="Q365" r:id="rId360" display="Ver ↗"/>
    <hyperlink ref="Q366" r:id="rId361" display="Ver ↗"/>
    <hyperlink ref="Q367" r:id="rId362" display="Ver ↗"/>
    <hyperlink ref="Q368" r:id="rId363" display="Ver ↗"/>
    <hyperlink ref="Q369" r:id="rId364" display="Ver ↗"/>
    <hyperlink ref="Q370" r:id="rId365" display="Ver ↗"/>
    <hyperlink ref="Q371" r:id="rId366" display="Ver ↗"/>
    <hyperlink ref="Q372" r:id="rId367" display="Ver ↗"/>
    <hyperlink ref="Q373" r:id="rId368" display="Ver ↗"/>
    <hyperlink ref="Q374" r:id="rId369" display="Ver ↗"/>
    <hyperlink ref="Q375" r:id="rId370" display="Ver ↗"/>
    <hyperlink ref="Q376" r:id="rId371" display="Ver ↗"/>
    <hyperlink ref="Q377" r:id="rId372" display="Ver ↗"/>
    <hyperlink ref="Q378" r:id="rId373" display="Ver ↗"/>
    <hyperlink ref="Q379" r:id="rId374" display="Ver ↗"/>
    <hyperlink ref="Q380" r:id="rId375" display="Ver ↗"/>
    <hyperlink ref="Q381" r:id="rId376" display="Ver ↗"/>
    <hyperlink ref="Q382" r:id="rId377" display="Ver ↗"/>
    <hyperlink ref="Q383" r:id="rId378" display="Ver ↗"/>
    <hyperlink ref="Q384" r:id="rId379" display="Ver ↗"/>
    <hyperlink ref="Q385" r:id="rId380" display="Ver ↗"/>
    <hyperlink ref="Q386" r:id="rId381" display="Ver ↗"/>
    <hyperlink ref="Q387" r:id="rId382" display="Ver ↗"/>
    <hyperlink ref="Q388" r:id="rId383" display="Ver ↗"/>
    <hyperlink ref="Q389" r:id="rId384" display="Ver ↗"/>
    <hyperlink ref="Q390" r:id="rId385" display="Ver ↗"/>
    <hyperlink ref="Q391" r:id="rId386" display="Ver ↗"/>
    <hyperlink ref="Q392" r:id="rId387" display="Ver ↗"/>
    <hyperlink ref="Q393" r:id="rId388" display="Ver ↗"/>
    <hyperlink ref="Q394" r:id="rId389" display="Ver ↗"/>
    <hyperlink ref="Q395" r:id="rId390" display="Ver ↗"/>
    <hyperlink ref="Q396" r:id="rId391" display="Ver ↗"/>
    <hyperlink ref="Q397" r:id="rId392" display="Ver ↗"/>
    <hyperlink ref="Q398" r:id="rId393" display="Ver ↗"/>
    <hyperlink ref="Q399" r:id="rId394" display="Ver ↗"/>
    <hyperlink ref="Q400" r:id="rId395" display="Ver ↗"/>
    <hyperlink ref="Q401" r:id="rId396" display="Ver ↗"/>
    <hyperlink ref="Q402" r:id="rId397" display="Ver ↗"/>
    <hyperlink ref="Q403" r:id="rId398" display="Ver ↗"/>
    <hyperlink ref="Q404" r:id="rId399" display="Ver ↗"/>
    <hyperlink ref="Q405" r:id="rId400" display="Ver ↗"/>
    <hyperlink ref="Q406" r:id="rId401" display="Ver ↗"/>
    <hyperlink ref="Q407" r:id="rId402" display="Ver ↗"/>
    <hyperlink ref="Q408" r:id="rId403" display="Ver ↗"/>
    <hyperlink ref="Q409" r:id="rId404" display="Ver ↗"/>
    <hyperlink ref="Q410" r:id="rId405" display="Ver ↗"/>
    <hyperlink ref="Q411" r:id="rId406" display="Ver ↗"/>
    <hyperlink ref="Q412" r:id="rId407" display="Ver ↗"/>
    <hyperlink ref="Q413" r:id="rId408" display="Ver ↗"/>
    <hyperlink ref="Q414" r:id="rId409" display="Ver ↗"/>
    <hyperlink ref="Q415" r:id="rId410" display="Ver ↗"/>
    <hyperlink ref="Q416" r:id="rId411" display="Ver ↗"/>
    <hyperlink ref="Q417" r:id="rId412" display="Ver ↗"/>
    <hyperlink ref="Q418" r:id="rId413" display="Ver ↗"/>
    <hyperlink ref="Q419" r:id="rId414" display="Ver ↗"/>
    <hyperlink ref="Q420" r:id="rId415" display="Ver ↗"/>
    <hyperlink ref="Q421" r:id="rId416" display="Ver ↗"/>
    <hyperlink ref="Q422" r:id="rId417" display="Ver ↗"/>
    <hyperlink ref="Q423" r:id="rId418" display="Ver ↗"/>
    <hyperlink ref="Q424" r:id="rId419" display="Ver ↗"/>
    <hyperlink ref="Q425" r:id="rId420" display="Ver ↗"/>
    <hyperlink ref="Q426" r:id="rId421" display="Ver ↗"/>
    <hyperlink ref="Q427" r:id="rId422" display="Ver ↗"/>
    <hyperlink ref="Q428" r:id="rId423" display="Ver ↗"/>
    <hyperlink ref="Q429" r:id="rId424" display="Ver ↗"/>
    <hyperlink ref="Q430" r:id="rId425" display="Ver ↗"/>
    <hyperlink ref="Q431" r:id="rId426" display="Ver ↗"/>
    <hyperlink ref="Q432" r:id="rId427" display="Ver ↗"/>
    <hyperlink ref="Q433" r:id="rId428" display="Ver ↗"/>
    <hyperlink ref="Q434" r:id="rId429" display="Ver ↗"/>
    <hyperlink ref="Q435" r:id="rId430" display="Ver ↗"/>
    <hyperlink ref="Q436" r:id="rId431" display="Ver ↗"/>
    <hyperlink ref="Q437" r:id="rId432" display="Ver ↗"/>
    <hyperlink ref="Q438" r:id="rId433" display="Ver ↗"/>
    <hyperlink ref="Q439" r:id="rId434" display="Ver ↗"/>
    <hyperlink ref="Q440" r:id="rId435" display="Ver ↗"/>
    <hyperlink ref="Q441" r:id="rId436" display="Ver ↗"/>
    <hyperlink ref="Q442" r:id="rId437" display="Ver ↗"/>
    <hyperlink ref="Q443" r:id="rId438" display="Ver ↗"/>
    <hyperlink ref="Q444" r:id="rId439" display="Ver ↗"/>
    <hyperlink ref="Q445" r:id="rId440" display="Ver ↗"/>
    <hyperlink ref="Q446" r:id="rId441" display="Ver ↗"/>
    <hyperlink ref="Q447" r:id="rId442" display="Ver ↗"/>
    <hyperlink ref="Q448" r:id="rId443" display="Ver ↗"/>
    <hyperlink ref="Q449" r:id="rId444" display="Ver ↗"/>
    <hyperlink ref="Q450" r:id="rId445" display="Ver ↗"/>
    <hyperlink ref="Q451" r:id="rId446" display="Ver ↗"/>
    <hyperlink ref="Q452" r:id="rId447" display="Ver ↗"/>
    <hyperlink ref="Q453" r:id="rId448" display="Ver ↗"/>
    <hyperlink ref="Q454" r:id="rId449" display="Ver ↗"/>
    <hyperlink ref="Q455" r:id="rId450" display="Ver ↗"/>
    <hyperlink ref="Q456" r:id="rId451" display="Ver ↗"/>
    <hyperlink ref="Q457" r:id="rId452" display="Ver ↗"/>
    <hyperlink ref="Q458" r:id="rId453" display="Ver ↗"/>
    <hyperlink ref="Q459" r:id="rId454" display="Ver ↗"/>
    <hyperlink ref="Q460" r:id="rId455" display="Ver ↗"/>
    <hyperlink ref="Q461" r:id="rId456" display="Ver ↗"/>
    <hyperlink ref="Q462" r:id="rId457" display="Ver ↗"/>
    <hyperlink ref="Q463" r:id="rId458" display="Ver ↗"/>
    <hyperlink ref="Q464" r:id="rId459" display="Ver ↗"/>
    <hyperlink ref="Q465" r:id="rId460" display="Ver ↗"/>
    <hyperlink ref="Q466" r:id="rId461" display="Ver ↗"/>
    <hyperlink ref="Q467" r:id="rId462" display="Ver ↗"/>
    <hyperlink ref="Q468" r:id="rId463" display="Ver ↗"/>
    <hyperlink ref="Q469" r:id="rId464" display="Ver ↗"/>
    <hyperlink ref="Q470" r:id="rId465" display="Ver ↗"/>
    <hyperlink ref="Q471" r:id="rId466" display="Ver ↗"/>
    <hyperlink ref="Q472" r:id="rId467" display="Ver ↗"/>
    <hyperlink ref="Q473" r:id="rId468" display="Ver ↗"/>
    <hyperlink ref="Q474" r:id="rId469" display="Ver ↗"/>
    <hyperlink ref="Q475" r:id="rId470" display="Ver ↗"/>
    <hyperlink ref="Q476" r:id="rId471" display="Ver ↗"/>
    <hyperlink ref="Q477" r:id="rId472" display="Ver ↗"/>
    <hyperlink ref="Q478" r:id="rId473" display="Ver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7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5"/>
  </cols>
  <sheetData>
    <row r="1" customFormat="false" ht="27.75" hidden="false" customHeight="true" outlineLevel="0" collapsed="false">
      <c r="A1" s="1" t="s">
        <v>676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677</v>
      </c>
      <c r="B2" s="2"/>
      <c r="C2" s="2"/>
      <c r="D2" s="2"/>
      <c r="E2" s="2"/>
      <c r="F2" s="2"/>
    </row>
    <row r="3" customFormat="false" ht="3" hidden="false" customHeight="true" outlineLevel="0" collapsed="false">
      <c r="A3" s="4"/>
      <c r="B3" s="4"/>
      <c r="C3" s="4"/>
      <c r="D3" s="4"/>
      <c r="E3" s="4"/>
      <c r="F3" s="4"/>
    </row>
    <row r="5" customFormat="false" ht="33.75" hidden="false" customHeight="true" outlineLevel="0" collapsed="false">
      <c r="A5" s="6" t="s">
        <v>678</v>
      </c>
      <c r="B5" s="6" t="s">
        <v>38</v>
      </c>
      <c r="C5" s="6" t="s">
        <v>21</v>
      </c>
      <c r="D5" s="6" t="s">
        <v>278</v>
      </c>
      <c r="E5" s="6" t="s">
        <v>642</v>
      </c>
      <c r="F5" s="6" t="s">
        <v>679</v>
      </c>
    </row>
    <row r="6" customFormat="false" ht="15" hidden="false" customHeight="false" outlineLevel="0" collapsed="false">
      <c r="A6" s="21" t="s">
        <v>199</v>
      </c>
      <c r="B6" s="22" t="n">
        <f aca="false">COUNTIFS(Inventario!$D$6:$D$478,$A6,Inventario!$B$6:$B$478,"Filtrante simple")</f>
        <v>48</v>
      </c>
      <c r="C6" s="22" t="n">
        <f aca="false">COUNTIFS(Inventario!$D$6:$D$478,$A6,Inventario!$B$6:$B$478,"Filtrante doble")</f>
        <v>12</v>
      </c>
      <c r="D6" s="22" t="n">
        <f aca="false">COUNTIFS(Inventario!$D$6:$D$478,$A6,Inventario!$B$6:$B$478,"Filtrante tipo «A» (por confirmar)")</f>
        <v>5</v>
      </c>
      <c r="E6" s="22" t="n">
        <f aca="false">COUNTIFS(Inventario!$D$6:$D$478,$A6,Inventario!$B$6:$B$478,"Cisterna (PG)")</f>
        <v>0</v>
      </c>
      <c r="F6" s="23" t="n">
        <f aca="false">SUM(B6:E6)</f>
        <v>65</v>
      </c>
    </row>
    <row r="7" customFormat="false" ht="15" hidden="false" customHeight="false" outlineLevel="0" collapsed="false">
      <c r="A7" s="21" t="s">
        <v>35</v>
      </c>
      <c r="B7" s="22" t="n">
        <f aca="false">COUNTIFS(Inventario!$D$6:$D$478,$A7,Inventario!$B$6:$B$478,"Filtrante simple")</f>
        <v>45</v>
      </c>
      <c r="C7" s="22" t="n">
        <f aca="false">COUNTIFS(Inventario!$D$6:$D$478,$A7,Inventario!$B$6:$B$478,"Filtrante doble")</f>
        <v>10</v>
      </c>
      <c r="D7" s="22" t="n">
        <f aca="false">COUNTIFS(Inventario!$D$6:$D$478,$A7,Inventario!$B$6:$B$478,"Filtrante tipo «A» (por confirmar)")</f>
        <v>0</v>
      </c>
      <c r="E7" s="22" t="n">
        <f aca="false">COUNTIFS(Inventario!$D$6:$D$478,$A7,Inventario!$B$6:$B$478,"Cisterna (PG)")</f>
        <v>0</v>
      </c>
      <c r="F7" s="23" t="n">
        <f aca="false">SUM(B7:E7)</f>
        <v>55</v>
      </c>
    </row>
    <row r="8" customFormat="false" ht="15" hidden="false" customHeight="false" outlineLevel="0" collapsed="false">
      <c r="A8" s="21" t="s">
        <v>265</v>
      </c>
      <c r="B8" s="22" t="n">
        <f aca="false">COUNTIFS(Inventario!$D$6:$D$478,$A8,Inventario!$B$6:$B$478,"Filtrante simple")</f>
        <v>43</v>
      </c>
      <c r="C8" s="22" t="n">
        <f aca="false">COUNTIFS(Inventario!$D$6:$D$478,$A8,Inventario!$B$6:$B$478,"Filtrante doble")</f>
        <v>11</v>
      </c>
      <c r="D8" s="22" t="n">
        <f aca="false">COUNTIFS(Inventario!$D$6:$D$478,$A8,Inventario!$B$6:$B$478,"Filtrante tipo «A» (por confirmar)")</f>
        <v>0</v>
      </c>
      <c r="E8" s="22" t="n">
        <f aca="false">COUNTIFS(Inventario!$D$6:$D$478,$A8,Inventario!$B$6:$B$478,"Cisterna (PG)")</f>
        <v>0</v>
      </c>
      <c r="F8" s="23" t="n">
        <f aca="false">SUM(B8:E8)</f>
        <v>54</v>
      </c>
    </row>
    <row r="9" customFormat="false" ht="15" hidden="false" customHeight="false" outlineLevel="0" collapsed="false">
      <c r="A9" s="21" t="s">
        <v>150</v>
      </c>
      <c r="B9" s="22" t="n">
        <f aca="false">COUNTIFS(Inventario!$D$6:$D$478,$A9,Inventario!$B$6:$B$478,"Filtrante simple")</f>
        <v>26</v>
      </c>
      <c r="C9" s="22" t="n">
        <f aca="false">COUNTIFS(Inventario!$D$6:$D$478,$A9,Inventario!$B$6:$B$478,"Filtrante doble")</f>
        <v>5</v>
      </c>
      <c r="D9" s="22" t="n">
        <f aca="false">COUNTIFS(Inventario!$D$6:$D$478,$A9,Inventario!$B$6:$B$478,"Filtrante tipo «A» (por confirmar)")</f>
        <v>0</v>
      </c>
      <c r="E9" s="22" t="n">
        <f aca="false">COUNTIFS(Inventario!$D$6:$D$478,$A9,Inventario!$B$6:$B$478,"Cisterna (PG)")</f>
        <v>0</v>
      </c>
      <c r="F9" s="23" t="n">
        <f aca="false">SUM(B9:E9)</f>
        <v>31</v>
      </c>
    </row>
    <row r="10" customFormat="false" ht="15" hidden="false" customHeight="false" outlineLevel="0" collapsed="false">
      <c r="A10" s="21" t="s">
        <v>112</v>
      </c>
      <c r="B10" s="22" t="n">
        <f aca="false">COUNTIFS(Inventario!$D$6:$D$478,$A10,Inventario!$B$6:$B$478,"Filtrante simple")</f>
        <v>25</v>
      </c>
      <c r="C10" s="22" t="n">
        <f aca="false">COUNTIFS(Inventario!$D$6:$D$478,$A10,Inventario!$B$6:$B$478,"Filtrante doble")</f>
        <v>4</v>
      </c>
      <c r="D10" s="22" t="n">
        <f aca="false">COUNTIFS(Inventario!$D$6:$D$478,$A10,Inventario!$B$6:$B$478,"Filtrante tipo «A» (por confirmar)")</f>
        <v>0</v>
      </c>
      <c r="E10" s="22" t="n">
        <f aca="false">COUNTIFS(Inventario!$D$6:$D$478,$A10,Inventario!$B$6:$B$478,"Cisterna (PG)")</f>
        <v>0</v>
      </c>
      <c r="F10" s="23" t="n">
        <f aca="false">SUM(B10:E10)</f>
        <v>29</v>
      </c>
    </row>
    <row r="11" customFormat="false" ht="15" hidden="false" customHeight="false" outlineLevel="0" collapsed="false">
      <c r="A11" s="21" t="s">
        <v>326</v>
      </c>
      <c r="B11" s="22" t="n">
        <f aca="false">COUNTIFS(Inventario!$D$6:$D$478,$A11,Inventario!$B$6:$B$478,"Filtrante simple")</f>
        <v>16</v>
      </c>
      <c r="C11" s="22" t="n">
        <f aca="false">COUNTIFS(Inventario!$D$6:$D$478,$A11,Inventario!$B$6:$B$478,"Filtrante doble")</f>
        <v>8</v>
      </c>
      <c r="D11" s="22" t="n">
        <f aca="false">COUNTIFS(Inventario!$D$6:$D$478,$A11,Inventario!$B$6:$B$478,"Filtrante tipo «A» (por confirmar)")</f>
        <v>0</v>
      </c>
      <c r="E11" s="22" t="n">
        <f aca="false">COUNTIFS(Inventario!$D$6:$D$478,$A11,Inventario!$B$6:$B$478,"Cisterna (PG)")</f>
        <v>0</v>
      </c>
      <c r="F11" s="23" t="n">
        <f aca="false">SUM(B11:E11)</f>
        <v>24</v>
      </c>
    </row>
    <row r="12" customFormat="false" ht="15" hidden="false" customHeight="false" outlineLevel="0" collapsed="false">
      <c r="A12" s="21" t="s">
        <v>576</v>
      </c>
      <c r="B12" s="22" t="n">
        <f aca="false">COUNTIFS(Inventario!$D$6:$D$478,$A12,Inventario!$B$6:$B$478,"Filtrante simple")</f>
        <v>20</v>
      </c>
      <c r="C12" s="22" t="n">
        <f aca="false">COUNTIFS(Inventario!$D$6:$D$478,$A12,Inventario!$B$6:$B$478,"Filtrante doble")</f>
        <v>3</v>
      </c>
      <c r="D12" s="22" t="n">
        <f aca="false">COUNTIFS(Inventario!$D$6:$D$478,$A12,Inventario!$B$6:$B$478,"Filtrante tipo «A» (por confirmar)")</f>
        <v>0</v>
      </c>
      <c r="E12" s="22" t="n">
        <f aca="false">COUNTIFS(Inventario!$D$6:$D$478,$A12,Inventario!$B$6:$B$478,"Cisterna (PG)")</f>
        <v>0</v>
      </c>
      <c r="F12" s="23" t="n">
        <f aca="false">SUM(B12:E12)</f>
        <v>23</v>
      </c>
    </row>
    <row r="13" customFormat="false" ht="15" hidden="false" customHeight="false" outlineLevel="0" collapsed="false">
      <c r="A13" s="21" t="s">
        <v>104</v>
      </c>
      <c r="B13" s="22" t="n">
        <f aca="false">COUNTIFS(Inventario!$D$6:$D$478,$A13,Inventario!$B$6:$B$478,"Filtrante simple")</f>
        <v>14</v>
      </c>
      <c r="C13" s="22" t="n">
        <f aca="false">COUNTIFS(Inventario!$D$6:$D$478,$A13,Inventario!$B$6:$B$478,"Filtrante doble")</f>
        <v>5</v>
      </c>
      <c r="D13" s="22" t="n">
        <f aca="false">COUNTIFS(Inventario!$D$6:$D$478,$A13,Inventario!$B$6:$B$478,"Filtrante tipo «A» (por confirmar)")</f>
        <v>0</v>
      </c>
      <c r="E13" s="22" t="n">
        <f aca="false">COUNTIFS(Inventario!$D$6:$D$478,$A13,Inventario!$B$6:$B$478,"Cisterna (PG)")</f>
        <v>0</v>
      </c>
      <c r="F13" s="23" t="n">
        <f aca="false">SUM(B13:E13)</f>
        <v>19</v>
      </c>
    </row>
    <row r="14" customFormat="false" ht="15" hidden="false" customHeight="false" outlineLevel="0" collapsed="false">
      <c r="A14" s="21" t="s">
        <v>406</v>
      </c>
      <c r="B14" s="22" t="n">
        <f aca="false">COUNTIFS(Inventario!$D$6:$D$478,$A14,Inventario!$B$6:$B$478,"Filtrante simple")</f>
        <v>17</v>
      </c>
      <c r="C14" s="22" t="n">
        <f aca="false">COUNTIFS(Inventario!$D$6:$D$478,$A14,Inventario!$B$6:$B$478,"Filtrante doble")</f>
        <v>1</v>
      </c>
      <c r="D14" s="22" t="n">
        <f aca="false">COUNTIFS(Inventario!$D$6:$D$478,$A14,Inventario!$B$6:$B$478,"Filtrante tipo «A» (por confirmar)")</f>
        <v>0</v>
      </c>
      <c r="E14" s="22" t="n">
        <f aca="false">COUNTIFS(Inventario!$D$6:$D$478,$A14,Inventario!$B$6:$B$478,"Cisterna (PG)")</f>
        <v>0</v>
      </c>
      <c r="F14" s="23" t="n">
        <f aca="false">SUM(B14:E14)</f>
        <v>18</v>
      </c>
    </row>
    <row r="15" customFormat="false" ht="15" hidden="false" customHeight="false" outlineLevel="0" collapsed="false">
      <c r="A15" s="21" t="s">
        <v>130</v>
      </c>
      <c r="B15" s="22" t="n">
        <f aca="false">COUNTIFS(Inventario!$D$6:$D$478,$A15,Inventario!$B$6:$B$478,"Filtrante simple")</f>
        <v>11</v>
      </c>
      <c r="C15" s="22" t="n">
        <f aca="false">COUNTIFS(Inventario!$D$6:$D$478,$A15,Inventario!$B$6:$B$478,"Filtrante doble")</f>
        <v>5</v>
      </c>
      <c r="D15" s="22" t="n">
        <f aca="false">COUNTIFS(Inventario!$D$6:$D$478,$A15,Inventario!$B$6:$B$478,"Filtrante tipo «A» (por confirmar)")</f>
        <v>0</v>
      </c>
      <c r="E15" s="22" t="n">
        <f aca="false">COUNTIFS(Inventario!$D$6:$D$478,$A15,Inventario!$B$6:$B$478,"Cisterna (PG)")</f>
        <v>0</v>
      </c>
      <c r="F15" s="23" t="n">
        <f aca="false">SUM(B15:E15)</f>
        <v>16</v>
      </c>
    </row>
    <row r="16" customFormat="false" ht="15" hidden="false" customHeight="false" outlineLevel="0" collapsed="false">
      <c r="A16" s="21" t="s">
        <v>88</v>
      </c>
      <c r="B16" s="22" t="n">
        <f aca="false">COUNTIFS(Inventario!$D$6:$D$478,$A16,Inventario!$B$6:$B$478,"Filtrante simple")</f>
        <v>11</v>
      </c>
      <c r="C16" s="22" t="n">
        <f aca="false">COUNTIFS(Inventario!$D$6:$D$478,$A16,Inventario!$B$6:$B$478,"Filtrante doble")</f>
        <v>2</v>
      </c>
      <c r="D16" s="22" t="n">
        <f aca="false">COUNTIFS(Inventario!$D$6:$D$478,$A16,Inventario!$B$6:$B$478,"Filtrante tipo «A» (por confirmar)")</f>
        <v>0</v>
      </c>
      <c r="E16" s="22" t="n">
        <f aca="false">COUNTIFS(Inventario!$D$6:$D$478,$A16,Inventario!$B$6:$B$478,"Cisterna (PG)")</f>
        <v>0</v>
      </c>
      <c r="F16" s="23" t="n">
        <f aca="false">SUM(B16:E16)</f>
        <v>13</v>
      </c>
    </row>
    <row r="17" customFormat="false" ht="15" hidden="false" customHeight="false" outlineLevel="0" collapsed="false">
      <c r="A17" s="21" t="s">
        <v>570</v>
      </c>
      <c r="B17" s="22" t="n">
        <f aca="false">COUNTIFS(Inventario!$D$6:$D$478,$A17,Inventario!$B$6:$B$478,"Filtrante simple")</f>
        <v>13</v>
      </c>
      <c r="C17" s="22" t="n">
        <f aca="false">COUNTIFS(Inventario!$D$6:$D$478,$A17,Inventario!$B$6:$B$478,"Filtrante doble")</f>
        <v>0</v>
      </c>
      <c r="D17" s="22" t="n">
        <f aca="false">COUNTIFS(Inventario!$D$6:$D$478,$A17,Inventario!$B$6:$B$478,"Filtrante tipo «A» (por confirmar)")</f>
        <v>0</v>
      </c>
      <c r="E17" s="22" t="n">
        <f aca="false">COUNTIFS(Inventario!$D$6:$D$478,$A17,Inventario!$B$6:$B$478,"Cisterna (PG)")</f>
        <v>0</v>
      </c>
      <c r="F17" s="23" t="n">
        <f aca="false">SUM(B17:E17)</f>
        <v>13</v>
      </c>
    </row>
    <row r="18" customFormat="false" ht="15" hidden="false" customHeight="false" outlineLevel="0" collapsed="false">
      <c r="A18" s="21" t="s">
        <v>555</v>
      </c>
      <c r="B18" s="22" t="n">
        <f aca="false">COUNTIFS(Inventario!$D$6:$D$478,$A18,Inventario!$B$6:$B$478,"Filtrante simple")</f>
        <v>9</v>
      </c>
      <c r="C18" s="22" t="n">
        <f aca="false">COUNTIFS(Inventario!$D$6:$D$478,$A18,Inventario!$B$6:$B$478,"Filtrante doble")</f>
        <v>2</v>
      </c>
      <c r="D18" s="22" t="n">
        <f aca="false">COUNTIFS(Inventario!$D$6:$D$478,$A18,Inventario!$B$6:$B$478,"Filtrante tipo «A» (por confirmar)")</f>
        <v>0</v>
      </c>
      <c r="E18" s="22" t="n">
        <f aca="false">COUNTIFS(Inventario!$D$6:$D$478,$A18,Inventario!$B$6:$B$478,"Cisterna (PG)")</f>
        <v>0</v>
      </c>
      <c r="F18" s="23" t="n">
        <f aca="false">SUM(B18:E18)</f>
        <v>11</v>
      </c>
    </row>
    <row r="19" customFormat="false" ht="15" hidden="false" customHeight="false" outlineLevel="0" collapsed="false">
      <c r="A19" s="21" t="s">
        <v>192</v>
      </c>
      <c r="B19" s="22" t="n">
        <f aca="false">COUNTIFS(Inventario!$D$6:$D$478,$A19,Inventario!$B$6:$B$478,"Filtrante simple")</f>
        <v>7</v>
      </c>
      <c r="C19" s="22" t="n">
        <f aca="false">COUNTIFS(Inventario!$D$6:$D$478,$A19,Inventario!$B$6:$B$478,"Filtrante doble")</f>
        <v>2</v>
      </c>
      <c r="D19" s="22" t="n">
        <f aca="false">COUNTIFS(Inventario!$D$6:$D$478,$A19,Inventario!$B$6:$B$478,"Filtrante tipo «A» (por confirmar)")</f>
        <v>0</v>
      </c>
      <c r="E19" s="22" t="n">
        <f aca="false">COUNTIFS(Inventario!$D$6:$D$478,$A19,Inventario!$B$6:$B$478,"Cisterna (PG)")</f>
        <v>0</v>
      </c>
      <c r="F19" s="23" t="n">
        <f aca="false">SUM(B19:E19)</f>
        <v>9</v>
      </c>
    </row>
    <row r="20" customFormat="false" ht="15" hidden="false" customHeight="false" outlineLevel="0" collapsed="false">
      <c r="A20" s="21" t="s">
        <v>474</v>
      </c>
      <c r="B20" s="22" t="n">
        <f aca="false">COUNTIFS(Inventario!$D$6:$D$478,$A20,Inventario!$B$6:$B$478,"Filtrante simple")</f>
        <v>9</v>
      </c>
      <c r="C20" s="22" t="n">
        <f aca="false">COUNTIFS(Inventario!$D$6:$D$478,$A20,Inventario!$B$6:$B$478,"Filtrante doble")</f>
        <v>0</v>
      </c>
      <c r="D20" s="22" t="n">
        <f aca="false">COUNTIFS(Inventario!$D$6:$D$478,$A20,Inventario!$B$6:$B$478,"Filtrante tipo «A» (por confirmar)")</f>
        <v>0</v>
      </c>
      <c r="E20" s="22" t="n">
        <f aca="false">COUNTIFS(Inventario!$D$6:$D$478,$A20,Inventario!$B$6:$B$478,"Cisterna (PG)")</f>
        <v>0</v>
      </c>
      <c r="F20" s="23" t="n">
        <f aca="false">SUM(B20:E20)</f>
        <v>9</v>
      </c>
    </row>
    <row r="21" customFormat="false" ht="15" hidden="false" customHeight="false" outlineLevel="0" collapsed="false">
      <c r="A21" s="21" t="s">
        <v>430</v>
      </c>
      <c r="B21" s="22" t="n">
        <f aca="false">COUNTIFS(Inventario!$D$6:$D$478,$A21,Inventario!$B$6:$B$478,"Filtrante simple")</f>
        <v>4</v>
      </c>
      <c r="C21" s="22" t="n">
        <f aca="false">COUNTIFS(Inventario!$D$6:$D$478,$A21,Inventario!$B$6:$B$478,"Filtrante doble")</f>
        <v>4</v>
      </c>
      <c r="D21" s="22" t="n">
        <f aca="false">COUNTIFS(Inventario!$D$6:$D$478,$A21,Inventario!$B$6:$B$478,"Filtrante tipo «A» (por confirmar)")</f>
        <v>0</v>
      </c>
      <c r="E21" s="22" t="n">
        <f aca="false">COUNTIFS(Inventario!$D$6:$D$478,$A21,Inventario!$B$6:$B$478,"Cisterna (PG)")</f>
        <v>0</v>
      </c>
      <c r="F21" s="23" t="n">
        <f aca="false">SUM(B21:E21)</f>
        <v>8</v>
      </c>
    </row>
    <row r="22" customFormat="false" ht="15" hidden="false" customHeight="false" outlineLevel="0" collapsed="false">
      <c r="A22" s="21" t="s">
        <v>480</v>
      </c>
      <c r="B22" s="22" t="n">
        <f aca="false">COUNTIFS(Inventario!$D$6:$D$478,$A22,Inventario!$B$6:$B$478,"Filtrante simple")</f>
        <v>5</v>
      </c>
      <c r="C22" s="22" t="n">
        <f aca="false">COUNTIFS(Inventario!$D$6:$D$478,$A22,Inventario!$B$6:$B$478,"Filtrante doble")</f>
        <v>3</v>
      </c>
      <c r="D22" s="22" t="n">
        <f aca="false">COUNTIFS(Inventario!$D$6:$D$478,$A22,Inventario!$B$6:$B$478,"Filtrante tipo «A» (por confirmar)")</f>
        <v>0</v>
      </c>
      <c r="E22" s="22" t="n">
        <f aca="false">COUNTIFS(Inventario!$D$6:$D$478,$A22,Inventario!$B$6:$B$478,"Cisterna (PG)")</f>
        <v>0</v>
      </c>
      <c r="F22" s="23" t="n">
        <f aca="false">SUM(B22:E22)</f>
        <v>8</v>
      </c>
    </row>
    <row r="23" customFormat="false" ht="15" hidden="false" customHeight="false" outlineLevel="0" collapsed="false">
      <c r="A23" s="21" t="s">
        <v>622</v>
      </c>
      <c r="B23" s="22" t="n">
        <f aca="false">COUNTIFS(Inventario!$D$6:$D$478,$A23,Inventario!$B$6:$B$478,"Filtrante simple")</f>
        <v>6</v>
      </c>
      <c r="C23" s="22" t="n">
        <f aca="false">COUNTIFS(Inventario!$D$6:$D$478,$A23,Inventario!$B$6:$B$478,"Filtrante doble")</f>
        <v>2</v>
      </c>
      <c r="D23" s="22" t="n">
        <f aca="false">COUNTIFS(Inventario!$D$6:$D$478,$A23,Inventario!$B$6:$B$478,"Filtrante tipo «A» (por confirmar)")</f>
        <v>0</v>
      </c>
      <c r="E23" s="22" t="n">
        <f aca="false">COUNTIFS(Inventario!$D$6:$D$478,$A23,Inventario!$B$6:$B$478,"Cisterna (PG)")</f>
        <v>0</v>
      </c>
      <c r="F23" s="23" t="n">
        <f aca="false">SUM(B23:E23)</f>
        <v>8</v>
      </c>
    </row>
    <row r="24" customFormat="false" ht="15" hidden="false" customHeight="false" outlineLevel="0" collapsed="false">
      <c r="A24" s="21" t="s">
        <v>139</v>
      </c>
      <c r="B24" s="22" t="n">
        <f aca="false">COUNTIFS(Inventario!$D$6:$D$478,$A24,Inventario!$B$6:$B$478,"Filtrante simple")</f>
        <v>5</v>
      </c>
      <c r="C24" s="22" t="n">
        <f aca="false">COUNTIFS(Inventario!$D$6:$D$478,$A24,Inventario!$B$6:$B$478,"Filtrante doble")</f>
        <v>2</v>
      </c>
      <c r="D24" s="22" t="n">
        <f aca="false">COUNTIFS(Inventario!$D$6:$D$478,$A24,Inventario!$B$6:$B$478,"Filtrante tipo «A» (por confirmar)")</f>
        <v>0</v>
      </c>
      <c r="E24" s="22" t="n">
        <f aca="false">COUNTIFS(Inventario!$D$6:$D$478,$A24,Inventario!$B$6:$B$478,"Cisterna (PG)")</f>
        <v>0</v>
      </c>
      <c r="F24" s="23" t="n">
        <f aca="false">SUM(B24:E24)</f>
        <v>7</v>
      </c>
    </row>
    <row r="25" customFormat="false" ht="15" hidden="false" customHeight="false" outlineLevel="0" collapsed="false">
      <c r="A25" s="21" t="s">
        <v>239</v>
      </c>
      <c r="B25" s="22" t="n">
        <f aca="false">COUNTIFS(Inventario!$D$6:$D$478,$A25,Inventario!$B$6:$B$478,"Filtrante simple")</f>
        <v>3</v>
      </c>
      <c r="C25" s="22" t="n">
        <f aca="false">COUNTIFS(Inventario!$D$6:$D$478,$A25,Inventario!$B$6:$B$478,"Filtrante doble")</f>
        <v>4</v>
      </c>
      <c r="D25" s="22" t="n">
        <f aca="false">COUNTIFS(Inventario!$D$6:$D$478,$A25,Inventario!$B$6:$B$478,"Filtrante tipo «A» (por confirmar)")</f>
        <v>0</v>
      </c>
      <c r="E25" s="22" t="n">
        <f aca="false">COUNTIFS(Inventario!$D$6:$D$478,$A25,Inventario!$B$6:$B$478,"Cisterna (PG)")</f>
        <v>0</v>
      </c>
      <c r="F25" s="23" t="n">
        <f aca="false">SUM(B25:E25)</f>
        <v>7</v>
      </c>
    </row>
    <row r="26" customFormat="false" ht="15" hidden="false" customHeight="false" outlineLevel="0" collapsed="false">
      <c r="A26" s="21" t="s">
        <v>616</v>
      </c>
      <c r="B26" s="22" t="n">
        <f aca="false">COUNTIFS(Inventario!$D$6:$D$478,$A26,Inventario!$B$6:$B$478,"Filtrante simple")</f>
        <v>3</v>
      </c>
      <c r="C26" s="22" t="n">
        <f aca="false">COUNTIFS(Inventario!$D$6:$D$478,$A26,Inventario!$B$6:$B$478,"Filtrante doble")</f>
        <v>3</v>
      </c>
      <c r="D26" s="22" t="n">
        <f aca="false">COUNTIFS(Inventario!$D$6:$D$478,$A26,Inventario!$B$6:$B$478,"Filtrante tipo «A» (por confirmar)")</f>
        <v>0</v>
      </c>
      <c r="E26" s="22" t="n">
        <f aca="false">COUNTIFS(Inventario!$D$6:$D$478,$A26,Inventario!$B$6:$B$478,"Cisterna (PG)")</f>
        <v>0</v>
      </c>
      <c r="F26" s="23" t="n">
        <f aca="false">SUM(B26:E26)</f>
        <v>6</v>
      </c>
    </row>
    <row r="27" customFormat="false" ht="15" hidden="false" customHeight="false" outlineLevel="0" collapsed="false">
      <c r="A27" s="21" t="s">
        <v>22</v>
      </c>
      <c r="B27" s="22" t="n">
        <f aca="false">COUNTIFS(Inventario!$D$6:$D$478,$A27,Inventario!$B$6:$B$478,"Filtrante simple")</f>
        <v>0</v>
      </c>
      <c r="C27" s="22" t="n">
        <f aca="false">COUNTIFS(Inventario!$D$6:$D$478,$A27,Inventario!$B$6:$B$478,"Filtrante doble")</f>
        <v>5</v>
      </c>
      <c r="D27" s="22" t="n">
        <f aca="false">COUNTIFS(Inventario!$D$6:$D$478,$A27,Inventario!$B$6:$B$478,"Filtrante tipo «A» (por confirmar)")</f>
        <v>0</v>
      </c>
      <c r="E27" s="22" t="n">
        <f aca="false">COUNTIFS(Inventario!$D$6:$D$478,$A27,Inventario!$B$6:$B$478,"Cisterna (PG)")</f>
        <v>0</v>
      </c>
      <c r="F27" s="23" t="n">
        <f aca="false">SUM(B27:E27)</f>
        <v>5</v>
      </c>
    </row>
    <row r="28" customFormat="false" ht="15" hidden="false" customHeight="false" outlineLevel="0" collapsed="false">
      <c r="A28" s="21" t="s">
        <v>228</v>
      </c>
      <c r="B28" s="22" t="n">
        <f aca="false">COUNTIFS(Inventario!$D$6:$D$478,$A28,Inventario!$B$6:$B$478,"Filtrante simple")</f>
        <v>5</v>
      </c>
      <c r="C28" s="22" t="n">
        <f aca="false">COUNTIFS(Inventario!$D$6:$D$478,$A28,Inventario!$B$6:$B$478,"Filtrante doble")</f>
        <v>0</v>
      </c>
      <c r="D28" s="22" t="n">
        <f aca="false">COUNTIFS(Inventario!$D$6:$D$478,$A28,Inventario!$B$6:$B$478,"Filtrante tipo «A» (por confirmar)")</f>
        <v>0</v>
      </c>
      <c r="E28" s="22" t="n">
        <f aca="false">COUNTIFS(Inventario!$D$6:$D$478,$A28,Inventario!$B$6:$B$478,"Cisterna (PG)")</f>
        <v>0</v>
      </c>
      <c r="F28" s="23" t="n">
        <f aca="false">SUM(B28:E28)</f>
        <v>5</v>
      </c>
    </row>
    <row r="29" customFormat="false" ht="15" hidden="false" customHeight="false" outlineLevel="0" collapsed="false">
      <c r="A29" s="21" t="s">
        <v>320</v>
      </c>
      <c r="B29" s="22" t="n">
        <f aca="false">COUNTIFS(Inventario!$D$6:$D$478,$A29,Inventario!$B$6:$B$478,"Filtrante simple")</f>
        <v>0</v>
      </c>
      <c r="C29" s="22" t="n">
        <f aca="false">COUNTIFS(Inventario!$D$6:$D$478,$A29,Inventario!$B$6:$B$478,"Filtrante doble")</f>
        <v>4</v>
      </c>
      <c r="D29" s="22" t="n">
        <f aca="false">COUNTIFS(Inventario!$D$6:$D$478,$A29,Inventario!$B$6:$B$478,"Filtrante tipo «A» (por confirmar)")</f>
        <v>0</v>
      </c>
      <c r="E29" s="22" t="n">
        <f aca="false">COUNTIFS(Inventario!$D$6:$D$478,$A29,Inventario!$B$6:$B$478,"Cisterna (PG)")</f>
        <v>0</v>
      </c>
      <c r="F29" s="23" t="n">
        <f aca="false">SUM(B29:E29)</f>
        <v>4</v>
      </c>
    </row>
    <row r="30" customFormat="false" ht="15" hidden="false" customHeight="false" outlineLevel="0" collapsed="false">
      <c r="A30" s="21" t="s">
        <v>126</v>
      </c>
      <c r="B30" s="22" t="n">
        <f aca="false">COUNTIFS(Inventario!$D$6:$D$478,$A30,Inventario!$B$6:$B$478,"Filtrante simple")</f>
        <v>1</v>
      </c>
      <c r="C30" s="22" t="n">
        <f aca="false">COUNTIFS(Inventario!$D$6:$D$478,$A30,Inventario!$B$6:$B$478,"Filtrante doble")</f>
        <v>2</v>
      </c>
      <c r="D30" s="22" t="n">
        <f aca="false">COUNTIFS(Inventario!$D$6:$D$478,$A30,Inventario!$B$6:$B$478,"Filtrante tipo «A» (por confirmar)")</f>
        <v>0</v>
      </c>
      <c r="E30" s="22" t="n">
        <f aca="false">COUNTIFS(Inventario!$D$6:$D$478,$A30,Inventario!$B$6:$B$478,"Cisterna (PG)")</f>
        <v>0</v>
      </c>
      <c r="F30" s="23" t="n">
        <f aca="false">SUM(B30:E30)</f>
        <v>3</v>
      </c>
    </row>
    <row r="31" customFormat="false" ht="15" hidden="false" customHeight="false" outlineLevel="0" collapsed="false">
      <c r="A31" s="21" t="s">
        <v>493</v>
      </c>
      <c r="B31" s="22" t="n">
        <f aca="false">COUNTIFS(Inventario!$D$6:$D$478,$A31,Inventario!$B$6:$B$478,"Filtrante simple")</f>
        <v>2</v>
      </c>
      <c r="C31" s="22" t="n">
        <f aca="false">COUNTIFS(Inventario!$D$6:$D$478,$A31,Inventario!$B$6:$B$478,"Filtrante doble")</f>
        <v>0</v>
      </c>
      <c r="D31" s="22" t="n">
        <f aca="false">COUNTIFS(Inventario!$D$6:$D$478,$A31,Inventario!$B$6:$B$478,"Filtrante tipo «A» (por confirmar)")</f>
        <v>0</v>
      </c>
      <c r="E31" s="22" t="n">
        <f aca="false">COUNTIFS(Inventario!$D$6:$D$478,$A31,Inventario!$B$6:$B$478,"Cisterna (PG)")</f>
        <v>0</v>
      </c>
      <c r="F31" s="23" t="n">
        <f aca="false">SUM(B31:E31)</f>
        <v>2</v>
      </c>
    </row>
    <row r="32" customFormat="false" ht="15" hidden="false" customHeight="false" outlineLevel="0" collapsed="false">
      <c r="A32" s="21" t="s">
        <v>496</v>
      </c>
      <c r="B32" s="22" t="n">
        <f aca="false">COUNTIFS(Inventario!$D$6:$D$478,$A32,Inventario!$B$6:$B$478,"Filtrante simple")</f>
        <v>2</v>
      </c>
      <c r="C32" s="22" t="n">
        <f aca="false">COUNTIFS(Inventario!$D$6:$D$478,$A32,Inventario!$B$6:$B$478,"Filtrante doble")</f>
        <v>0</v>
      </c>
      <c r="D32" s="22" t="n">
        <f aca="false">COUNTIFS(Inventario!$D$6:$D$478,$A32,Inventario!$B$6:$B$478,"Filtrante tipo «A» (por confirmar)")</f>
        <v>0</v>
      </c>
      <c r="E32" s="22" t="n">
        <f aca="false">COUNTIFS(Inventario!$D$6:$D$478,$A32,Inventario!$B$6:$B$478,"Cisterna (PG)")</f>
        <v>0</v>
      </c>
      <c r="F32" s="23" t="n">
        <f aca="false">SUM(B32:E32)</f>
        <v>2</v>
      </c>
    </row>
    <row r="33" customFormat="false" ht="15" hidden="false" customHeight="false" outlineLevel="0" collapsed="false">
      <c r="A33" s="24" t="s">
        <v>29</v>
      </c>
      <c r="B33" s="22" t="n">
        <f aca="false">COUNTIFS(Inventario!$C$6:$C$478,$A33,Inventario!$B$6:$B$478,"Filtrante simple")</f>
        <v>14</v>
      </c>
      <c r="C33" s="22" t="n">
        <f aca="false">COUNTIFS(Inventario!$C$6:$C$478,$A33,Inventario!$B$6:$B$478,"Filtrante doble")</f>
        <v>3</v>
      </c>
      <c r="D33" s="22" t="n">
        <f aca="false">COUNTIFS(Inventario!$C$6:$C$478,$A33,Inventario!$B$6:$B$478,"Filtrante tipo «A» (por confirmar)")</f>
        <v>0</v>
      </c>
      <c r="E33" s="22" t="n">
        <f aca="false">COUNTIFS(Inventario!$C$6:$C$478,$A33,Inventario!$B$6:$B$478,"Cisterna (PG)")</f>
        <v>1</v>
      </c>
      <c r="F33" s="23" t="n">
        <f aca="false">SUM(B33:E33)</f>
        <v>18</v>
      </c>
    </row>
    <row r="34" customFormat="false" ht="15" hidden="false" customHeight="false" outlineLevel="0" collapsed="false">
      <c r="A34" s="24" t="s">
        <v>661</v>
      </c>
      <c r="B34" s="22" t="n">
        <f aca="false">COUNTIFS(Inventario!$C$6:$C$478,$A34,Inventario!$B$6:$B$478,"Filtrante simple")</f>
        <v>1</v>
      </c>
      <c r="C34" s="22" t="n">
        <f aca="false">COUNTIFS(Inventario!$C$6:$C$478,$A34,Inventario!$B$6:$B$478,"Filtrante doble")</f>
        <v>0</v>
      </c>
      <c r="D34" s="22" t="n">
        <f aca="false">COUNTIFS(Inventario!$C$6:$C$478,$A34,Inventario!$B$6:$B$478,"Filtrante tipo «A» (por confirmar)")</f>
        <v>0</v>
      </c>
      <c r="E34" s="22" t="n">
        <f aca="false">COUNTIFS(Inventario!$C$6:$C$478,$A34,Inventario!$B$6:$B$478,"Cisterna (PG)")</f>
        <v>0</v>
      </c>
      <c r="F34" s="23" t="n">
        <f aca="false">SUM(B34:E34)</f>
        <v>1</v>
      </c>
    </row>
    <row r="35" customFormat="false" ht="15" hidden="false" customHeight="false" outlineLevel="0" collapsed="false">
      <c r="A35" s="25" t="s">
        <v>679</v>
      </c>
      <c r="B35" s="26" t="n">
        <f aca="false">SUM(B6:B34)</f>
        <v>365</v>
      </c>
      <c r="C35" s="26" t="n">
        <f aca="false">SUM(C6:C34)</f>
        <v>102</v>
      </c>
      <c r="D35" s="26" t="n">
        <f aca="false">SUM(D6:D34)</f>
        <v>5</v>
      </c>
      <c r="E35" s="26" t="n">
        <f aca="false">SUM(E6:E34)</f>
        <v>1</v>
      </c>
      <c r="F35" s="26" t="n">
        <f aca="false">SUM(F6:F34)</f>
        <v>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4" min="4" style="0" width="26"/>
  </cols>
  <sheetData>
    <row r="1" customFormat="false" ht="27.75" hidden="false" customHeight="true" outlineLevel="0" collapsed="false">
      <c r="A1" s="1" t="s">
        <v>680</v>
      </c>
      <c r="B1" s="2"/>
      <c r="C1" s="2"/>
      <c r="D1" s="2"/>
    </row>
    <row r="2" customFormat="false" ht="19.5" hidden="false" customHeight="true" outlineLevel="0" collapsed="false">
      <c r="A2" s="3" t="s">
        <v>681</v>
      </c>
      <c r="B2" s="2"/>
      <c r="C2" s="2"/>
      <c r="D2" s="2"/>
    </row>
    <row r="3" customFormat="false" ht="3" hidden="false" customHeight="true" outlineLevel="0" collapsed="false">
      <c r="A3" s="4"/>
      <c r="B3" s="4"/>
      <c r="C3" s="4"/>
      <c r="D3" s="4"/>
    </row>
    <row r="5" customFormat="false" ht="33.75" hidden="false" customHeight="true" outlineLevel="0" collapsed="false">
      <c r="A5" s="6" t="s">
        <v>3</v>
      </c>
      <c r="B5" s="6" t="s">
        <v>682</v>
      </c>
      <c r="C5" s="6" t="s">
        <v>683</v>
      </c>
      <c r="D5" s="6" t="s">
        <v>684</v>
      </c>
    </row>
    <row r="6" customFormat="false" ht="15" hidden="false" customHeight="false" outlineLevel="0" collapsed="false">
      <c r="A6" s="8" t="s">
        <v>76</v>
      </c>
      <c r="B6" s="8" t="n">
        <v>445</v>
      </c>
      <c r="C6" s="8" t="s">
        <v>77</v>
      </c>
      <c r="D6" s="8" t="s">
        <v>685</v>
      </c>
    </row>
    <row r="7" customFormat="false" ht="15" hidden="false" customHeight="false" outlineLevel="0" collapsed="false">
      <c r="A7" s="8" t="s">
        <v>78</v>
      </c>
      <c r="B7" s="8" t="n">
        <v>444</v>
      </c>
      <c r="C7" s="8" t="s">
        <v>79</v>
      </c>
      <c r="D7" s="8" t="s">
        <v>685</v>
      </c>
    </row>
    <row r="8" customFormat="false" ht="15" hidden="false" customHeight="false" outlineLevel="0" collapsed="false">
      <c r="A8" s="8" t="s">
        <v>277</v>
      </c>
      <c r="B8" s="8" t="n">
        <v>309</v>
      </c>
      <c r="C8" s="8" t="s">
        <v>280</v>
      </c>
      <c r="D8" s="8" t="s">
        <v>686</v>
      </c>
    </row>
    <row r="9" customFormat="false" ht="15" hidden="false" customHeight="false" outlineLevel="0" collapsed="false">
      <c r="A9" s="8" t="s">
        <v>281</v>
      </c>
      <c r="B9" s="8" t="n">
        <v>308</v>
      </c>
      <c r="C9" s="8" t="s">
        <v>280</v>
      </c>
      <c r="D9" s="8" t="s">
        <v>687</v>
      </c>
    </row>
    <row r="10" customFormat="false" ht="15" hidden="false" customHeight="false" outlineLevel="0" collapsed="false">
      <c r="A10" s="8" t="s">
        <v>282</v>
      </c>
      <c r="B10" s="8" t="n">
        <v>307</v>
      </c>
      <c r="C10" s="8" t="s">
        <v>280</v>
      </c>
      <c r="D10" s="8" t="s">
        <v>688</v>
      </c>
    </row>
    <row r="11" customFormat="false" ht="15" hidden="false" customHeight="false" outlineLevel="0" collapsed="false">
      <c r="A11" s="8" t="s">
        <v>283</v>
      </c>
      <c r="B11" s="8" t="n">
        <v>306</v>
      </c>
      <c r="C11" s="8" t="s">
        <v>280</v>
      </c>
      <c r="D11" s="8" t="s">
        <v>689</v>
      </c>
    </row>
    <row r="12" customFormat="false" ht="15" hidden="false" customHeight="false" outlineLevel="0" collapsed="false">
      <c r="A12" s="8" t="s">
        <v>284</v>
      </c>
      <c r="B12" s="8" t="n">
        <v>305</v>
      </c>
      <c r="C12" s="8" t="s">
        <v>280</v>
      </c>
      <c r="D12" s="8" t="s">
        <v>690</v>
      </c>
    </row>
    <row r="13" customFormat="false" ht="15" hidden="false" customHeight="false" outlineLevel="0" collapsed="false">
      <c r="A13" s="8" t="s">
        <v>343</v>
      </c>
      <c r="B13" s="8" t="n">
        <v>255</v>
      </c>
      <c r="C13" s="8" t="s">
        <v>345</v>
      </c>
      <c r="D13" s="8" t="s">
        <v>691</v>
      </c>
    </row>
    <row r="14" customFormat="false" ht="15" hidden="false" customHeight="false" outlineLevel="0" collapsed="false">
      <c r="A14" s="8" t="s">
        <v>363</v>
      </c>
      <c r="B14" s="8" t="n">
        <v>237</v>
      </c>
      <c r="C14" s="8" t="s">
        <v>366</v>
      </c>
      <c r="D14" s="8" t="s">
        <v>692</v>
      </c>
    </row>
    <row r="15" customFormat="false" ht="15" hidden="false" customHeight="false" outlineLevel="0" collapsed="false">
      <c r="A15" s="8" t="s">
        <v>371</v>
      </c>
      <c r="B15" s="8" t="n">
        <v>233</v>
      </c>
      <c r="C15" s="8" t="s">
        <v>373</v>
      </c>
      <c r="D15" s="8" t="s">
        <v>693</v>
      </c>
    </row>
    <row r="16" customFormat="false" ht="15" hidden="false" customHeight="false" outlineLevel="0" collapsed="false">
      <c r="A16" s="8" t="s">
        <v>374</v>
      </c>
      <c r="B16" s="8" t="n">
        <v>232</v>
      </c>
      <c r="C16" s="8" t="s">
        <v>375</v>
      </c>
      <c r="D16" s="8" t="s">
        <v>694</v>
      </c>
    </row>
    <row r="17" customFormat="false" ht="15" hidden="false" customHeight="false" outlineLevel="0" collapsed="false">
      <c r="A17" s="8" t="s">
        <v>641</v>
      </c>
      <c r="B17" s="8" t="n">
        <v>30</v>
      </c>
      <c r="C17" s="8" t="s">
        <v>644</v>
      </c>
      <c r="D17" s="8" t="s">
        <v>695</v>
      </c>
    </row>
    <row r="18" customFormat="false" ht="25.35" hidden="false" customHeight="false" outlineLevel="0" collapsed="false">
      <c r="A18" s="8" t="s">
        <v>696</v>
      </c>
      <c r="B18" s="8" t="n">
        <v>273</v>
      </c>
      <c r="C18" s="8" t="s">
        <v>697</v>
      </c>
      <c r="D18" s="8" t="s">
        <v>696</v>
      </c>
    </row>
    <row r="19" customFormat="false" ht="25.35" hidden="false" customHeight="false" outlineLevel="0" collapsed="false">
      <c r="A19" s="8" t="s">
        <v>660</v>
      </c>
      <c r="B19" s="8" t="n">
        <v>14</v>
      </c>
      <c r="C19" s="8" t="s">
        <v>698</v>
      </c>
      <c r="D19" s="8" t="s">
        <v>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27.75" hidden="false" customHeight="true" outlineLevel="0" collapsed="false">
      <c r="A1" s="1" t="s">
        <v>700</v>
      </c>
      <c r="B1" s="2"/>
      <c r="C1" s="2"/>
    </row>
    <row r="2" customFormat="false" ht="19.5" hidden="false" customHeight="true" outlineLevel="0" collapsed="false">
      <c r="A2" s="3" t="s">
        <v>701</v>
      </c>
      <c r="B2" s="2"/>
      <c r="C2" s="2"/>
    </row>
    <row r="3" customFormat="false" ht="3" hidden="false" customHeight="true" outlineLevel="0" collapsed="false">
      <c r="A3" s="4"/>
      <c r="B3" s="4"/>
      <c r="C3" s="4"/>
    </row>
    <row r="5" customFormat="false" ht="18" hidden="false" customHeight="true" outlineLevel="0" collapsed="false">
      <c r="A5" s="27" t="s">
        <v>702</v>
      </c>
      <c r="B5" s="28" t="s">
        <v>703</v>
      </c>
    </row>
    <row r="6" customFormat="false" ht="18" hidden="false" customHeight="true" outlineLevel="0" collapsed="false">
      <c r="A6" s="27" t="s">
        <v>704</v>
      </c>
      <c r="B6" s="28" t="s">
        <v>705</v>
      </c>
    </row>
    <row r="7" customFormat="false" ht="36" hidden="false" customHeight="true" outlineLevel="0" collapsed="false">
      <c r="A7" s="27" t="s">
        <v>706</v>
      </c>
      <c r="B7" s="28" t="s">
        <v>707</v>
      </c>
    </row>
    <row r="8" customFormat="false" ht="54" hidden="false" customHeight="true" outlineLevel="0" collapsed="false">
      <c r="A8" s="27" t="s">
        <v>708</v>
      </c>
      <c r="B8" s="28" t="s">
        <v>709</v>
      </c>
    </row>
    <row r="9" customFormat="false" ht="36" hidden="false" customHeight="true" outlineLevel="0" collapsed="false">
      <c r="A9" s="27" t="s">
        <v>710</v>
      </c>
      <c r="B9" s="28" t="s">
        <v>711</v>
      </c>
    </row>
    <row r="10" customFormat="false" ht="36" hidden="false" customHeight="true" outlineLevel="0" collapsed="false">
      <c r="A10" s="27" t="s">
        <v>712</v>
      </c>
      <c r="B10" s="28" t="s">
        <v>713</v>
      </c>
    </row>
    <row r="11" customFormat="false" ht="36" hidden="false" customHeight="true" outlineLevel="0" collapsed="false">
      <c r="A11" s="27" t="s">
        <v>714</v>
      </c>
      <c r="B11" s="28" t="s">
        <v>715</v>
      </c>
    </row>
    <row r="12" customFormat="false" ht="36" hidden="false" customHeight="true" outlineLevel="0" collapsed="false">
      <c r="A12" s="27" t="s">
        <v>716</v>
      </c>
      <c r="B12" s="28" t="s">
        <v>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2026-10-28T17:54:55Z</dcterms:created>
  <dc:creator>openpyxl</dc:creator>
  <dc:description/>
  <dc:language>en-US</dc:language>
  <cp:lastModifiedBy/>
  <dcterms:modified xsi:type="dcterms:W3CDTF">2026-10-28T17:54:56Z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