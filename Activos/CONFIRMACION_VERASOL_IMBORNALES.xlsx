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rmación" sheetId="1" state="visible" r:id="rId3"/>
    <sheet name="Listas" sheetId="2" state="hidden" r:id="rId4"/>
  </sheets>
  <definedNames>
    <definedName function="false" hidden="true" localSheetId="0" name="_xlnm._FilterDatabase" vbProcedure="false">Confirmación!$A$5:$O$27</definedName>
    <definedName function="false" hidden="false" name="lst_respuesta" vbProcedure="false">Listas!$A$1:$A$5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<sst xmlns="http://schemas.openxmlformats.org/spreadsheetml/2006/main" count="155" uniqueCount="80">
  <si>
    <t xml:space="preserve">Confirmación de imbornales con Verasol · Ciudad Juan Bosch</t>
  </si>
  <si>
    <t xml:space="preserve">Levantamiento del 27/07/2026 · Estos puntos no se muestran en el mapa hasta que se confirmen · Complete las columnas en amarillo</t>
  </si>
  <si>
    <t xml:space="preserve">Respuesta: elija de la lista. Si es «Corregir coordenada», escriba el Este y el Norte corregidos (UTM 19N). Para un duplicado, marque «Eliminar» en uno de los dos y «Correcto» en el otro.</t>
  </si>
  <si>
    <t xml:space="preserve">ID</t>
  </si>
  <si>
    <t xml:space="preserve">No. en Excel de Verasol</t>
  </si>
  <si>
    <t xml:space="preserve">Fila del Excel</t>
  </si>
  <si>
    <t xml:space="preserve">Calle / ubicación</t>
  </si>
  <si>
    <t xml:space="preserve">Tipo en Excel</t>
  </si>
  <si>
    <t xml:space="preserve">Tipo en plano</t>
  </si>
  <si>
    <t xml:space="preserve">Qué hay que confirmar</t>
  </si>
  <si>
    <t xml:space="preserve">UTM Este</t>
  </si>
  <si>
    <t xml:space="preserve">UTM Norte</t>
  </si>
  <si>
    <t xml:space="preserve">Ver en Google Maps</t>
  </si>
  <si>
    <t xml:space="preserve">Respuesta de Verasol *</t>
  </si>
  <si>
    <t xml:space="preserve">Este corregido</t>
  </si>
  <si>
    <t xml:space="preserve">Norte corregido</t>
  </si>
  <si>
    <t xml:space="preserve">Comentario de Verasol</t>
  </si>
  <si>
    <t xml:space="preserve">Fecha de confirmación</t>
  </si>
  <si>
    <t xml:space="preserve">IMB-013</t>
  </si>
  <si>
    <t xml:space="preserve">Avenida El Sembrador</t>
  </si>
  <si>
    <t xml:space="preserve">filtrante</t>
  </si>
  <si>
    <t xml:space="preserve">Sin símbolo</t>
  </si>
  <si>
    <t xml:space="preserve">No aparece en el plano (el símbolo más cercano está a 7 m). ¿Existe y la coordenada es correcta?</t>
  </si>
  <si>
    <t xml:space="preserve">Ver ↗</t>
  </si>
  <si>
    <t xml:space="preserve">IMB-022</t>
  </si>
  <si>
    <t xml:space="preserve">Filtrante doble</t>
  </si>
  <si>
    <t xml:space="preserve">Tipo distinto: el Excel dice filtrante simple y el plano filtrante doble. ¿Cuál es el correcto?</t>
  </si>
  <si>
    <t xml:space="preserve">IMB-031</t>
  </si>
  <si>
    <t xml:space="preserve">Filtrante simple</t>
  </si>
  <si>
    <t xml:space="preserve">Misma coordenada que IMB-032: ¿son dos imbornales o un registro duplicado? (si es duplicado, marque «Eliminar» en uno de los dos)</t>
  </si>
  <si>
    <t xml:space="preserve">IMB-032</t>
  </si>
  <si>
    <t xml:space="preserve">Misma coordenada que IMB-031: ¿son dos imbornales o un registro duplicado? (si es duplicado, marque «Eliminar» en uno de los dos)</t>
  </si>
  <si>
    <t xml:space="preserve">IMB-055</t>
  </si>
  <si>
    <t xml:space="preserve">No aparece en el plano (el símbolo más cercano está a 8 m). ¿Existe y la coordenada es correcta?</t>
  </si>
  <si>
    <t xml:space="preserve">IMB-070</t>
  </si>
  <si>
    <t xml:space="preserve">Calle Fragata</t>
  </si>
  <si>
    <t xml:space="preserve">filtrante doble</t>
  </si>
  <si>
    <t xml:space="preserve">Tipo distinto: el Excel dice filtrante doble y el plano filtrante simple. ¿Cuál es el correcto?</t>
  </si>
  <si>
    <t xml:space="preserve">IMB-175</t>
  </si>
  <si>
    <t xml:space="preserve">Avenida La Gaviota Tramo 1</t>
  </si>
  <si>
    <t xml:space="preserve">IMB-194</t>
  </si>
  <si>
    <t xml:space="preserve">Calle Navidad Este</t>
  </si>
  <si>
    <t xml:space="preserve">IMB-195</t>
  </si>
  <si>
    <t xml:space="preserve">IMB-214</t>
  </si>
  <si>
    <t xml:space="preserve">Boulevard el Oro y la Paz</t>
  </si>
  <si>
    <t xml:space="preserve">IMB-220</t>
  </si>
  <si>
    <t xml:space="preserve">filtrantedoble</t>
  </si>
  <si>
    <t xml:space="preserve">IMB-242</t>
  </si>
  <si>
    <t xml:space="preserve">Misma coordenada que IMB-243: ¿son dos imbornales o un registro duplicado? (si es duplicado, marque «Eliminar» en uno de los dos)</t>
  </si>
  <si>
    <t xml:space="preserve">IMB-243</t>
  </si>
  <si>
    <t xml:space="preserve">Misma coordenada que IMB-242: ¿son dos imbornales o un registro duplicado? (si es duplicado, marque «Eliminar» en uno de los dos)</t>
  </si>
  <si>
    <t xml:space="preserve">IMB-251</t>
  </si>
  <si>
    <t xml:space="preserve">No aparece en el plano (el símbolo más cercano está a 9 m). ¿Existe y la coordenada es correcta?</t>
  </si>
  <si>
    <t xml:space="preserve">IMB-279</t>
  </si>
  <si>
    <t xml:space="preserve">Calle Carmen Quidiello De Bosch</t>
  </si>
  <si>
    <t xml:space="preserve">IMB-280</t>
  </si>
  <si>
    <t xml:space="preserve">Avenida Camino Real Nor Este</t>
  </si>
  <si>
    <t xml:space="preserve">No aparece en el plano (el símbolo más cercano está a 29 m). ¿Existe y la coordenada es correcta?</t>
  </si>
  <si>
    <t xml:space="preserve">IMB-314</t>
  </si>
  <si>
    <t xml:space="preserve">Calle Papa Juan</t>
  </si>
  <si>
    <t xml:space="preserve">No aparece en el plano (el símbolo más cercano está a 17 m). ¿Existe y la coordenada es correcta?</t>
  </si>
  <si>
    <t xml:space="preserve">IMB-369</t>
  </si>
  <si>
    <t xml:space="preserve">No aparece en el plano (el símbolo más cercano está a 129 m). ¿Existe y la coordenada es correcta?</t>
  </si>
  <si>
    <t xml:space="preserve">IMB-370</t>
  </si>
  <si>
    <t xml:space="preserve">No aparece en el plano (el símbolo más cercano está a 130 m). ¿Existe y la coordenada es correcta?</t>
  </si>
  <si>
    <t xml:space="preserve">IMB-431</t>
  </si>
  <si>
    <t xml:space="preserve">Calle Cayo Confites</t>
  </si>
  <si>
    <t xml:space="preserve">IMB-445B</t>
  </si>
  <si>
    <t xml:space="preserve">Dentro de lote</t>
  </si>
  <si>
    <t xml:space="preserve">pg cisterna</t>
  </si>
  <si>
    <t xml:space="preserve">No figura en el plano; parece un punto de referencia (cisterna), no un imbornal. ¿Se incluye en el inventario?</t>
  </si>
  <si>
    <t xml:space="preserve">IMB-460</t>
  </si>
  <si>
    <t xml:space="preserve">Fuera de lotes del Master Plan</t>
  </si>
  <si>
    <t xml:space="preserve">Filtrante</t>
  </si>
  <si>
    <t xml:space="preserve">Queda fuera de los lotes del Master Plan. ¿Pertenece a CJB y la coordenada es correcta?</t>
  </si>
  <si>
    <t xml:space="preserve">Correcto como está en el Excel</t>
  </si>
  <si>
    <t xml:space="preserve">Es filtrante simple</t>
  </si>
  <si>
    <t xml:space="preserve">Es filtrante doble</t>
  </si>
  <si>
    <t xml:space="preserve">Corregir coordenada</t>
  </si>
  <si>
    <t xml:space="preserve">Eliminar (no existe o es duplicado)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</si>
</sst>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FFFFFF"/>
      <name val="Segoe UI Semibold"/>
      <family val="0"/>
      <charset val="1"/>
    </font>
    <font>
      <sz val="9"/>
      <color rgb="FFC7D2FE"/>
      <name val="Segoe UI"/>
      <family val="0"/>
      <charset val="1"/>
    </font>
    <font>
      <i val="true"/>
      <sz val="9"/>
      <color rgb="FF64748B"/>
      <name val="Segoe UI"/>
      <family val="0"/>
      <charset val="1"/>
    </font>
    <font>
      <sz val="10"/>
      <color rgb="FF1B3A6B"/>
      <name val="Segoe UI Semibold"/>
      <family val="0"/>
      <charset val="1"/>
    </font>
    <font>
      <sz val="9.5"/>
      <color rgb="FFFFFFFF"/>
      <name val="Segoe UI Semibold"/>
      <family val="0"/>
      <charset val="1"/>
    </font>
    <font>
      <sz val="9.5"/>
      <color rgb="FF0F172A"/>
      <name val="Segoe UI"/>
      <family val="0"/>
      <charset val="1"/>
    </font>
    <font>
      <u val="single"/>
      <sz val="9.5"/>
      <color rgb="FF1D4ED8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63946"/>
        <bgColor rgb="FFB45309"/>
      </patternFill>
    </fill>
    <fill>
      <patternFill patternType="solid">
        <fgColor rgb="FFB45309"/>
        <bgColor rgb="FFE63946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E2E8F0"/>
      </right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9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9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3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D7A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3946"/>
      <rgbColor rgb="FFFFF8E1"/>
      <rgbColor rgb="FFDCFCE7"/>
      <rgbColor rgb="FF660066"/>
      <rgbColor rgb="FFFF8080"/>
      <rgbColor rgb="FF1D4ED8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F172A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?q=18.4907784,-69.7429922" TargetMode="External"/><Relationship Id="rId2" Type="http://schemas.openxmlformats.org/officeDocument/2006/relationships/hyperlink" Target="https://www.google.com/maps?q=18.5032864,-69.7398438" TargetMode="External"/><Relationship Id="rId3" Type="http://schemas.openxmlformats.org/officeDocument/2006/relationships/hyperlink" Target="https://www.google.com/maps?q=18.5132535,-69.7438489" TargetMode="External"/><Relationship Id="rId4" Type="http://schemas.openxmlformats.org/officeDocument/2006/relationships/hyperlink" Target="https://www.google.com/maps?q=18.5132535,-69.7438489" TargetMode="External"/><Relationship Id="rId5" Type="http://schemas.openxmlformats.org/officeDocument/2006/relationships/hyperlink" Target="https://www.google.com/maps?q=18.4907709,-69.7431012" TargetMode="External"/><Relationship Id="rId6" Type="http://schemas.openxmlformats.org/officeDocument/2006/relationships/hyperlink" Target="https://www.google.com/maps?q=18.486687,-69.745643" TargetMode="External"/><Relationship Id="rId7" Type="http://schemas.openxmlformats.org/officeDocument/2006/relationships/hyperlink" Target="https://www.google.com/maps?q=18.4902524,-69.750778" TargetMode="External"/><Relationship Id="rId8" Type="http://schemas.openxmlformats.org/officeDocument/2006/relationships/hyperlink" Target="https://www.google.com/maps?q=18.4862704,-69.7499943" TargetMode="External"/><Relationship Id="rId9" Type="http://schemas.openxmlformats.org/officeDocument/2006/relationships/hyperlink" Target="https://www.google.com/maps?q=18.4863603,-69.749997" TargetMode="External"/><Relationship Id="rId10" Type="http://schemas.openxmlformats.org/officeDocument/2006/relationships/hyperlink" Target="https://www.google.com/maps?q=18.4882772,-69.7522405" TargetMode="External"/><Relationship Id="rId11" Type="http://schemas.openxmlformats.org/officeDocument/2006/relationships/hyperlink" Target="https://www.google.com/maps?q=18.4885153,-69.7522564" TargetMode="External"/><Relationship Id="rId12" Type="http://schemas.openxmlformats.org/officeDocument/2006/relationships/hyperlink" Target="https://www.google.com/maps?q=18.4962163,-69.7506067" TargetMode="External"/><Relationship Id="rId13" Type="http://schemas.openxmlformats.org/officeDocument/2006/relationships/hyperlink" Target="https://www.google.com/maps?q=18.4962162,-69.7506067" TargetMode="External"/><Relationship Id="rId14" Type="http://schemas.openxmlformats.org/officeDocument/2006/relationships/hyperlink" Target="https://www.google.com/maps?q=18.4989418,-69.750797" TargetMode="External"/><Relationship Id="rId15" Type="http://schemas.openxmlformats.org/officeDocument/2006/relationships/hyperlink" Target="https://www.google.com/maps?q=18.4947776,-69.7479352" TargetMode="External"/><Relationship Id="rId16" Type="http://schemas.openxmlformats.org/officeDocument/2006/relationships/hyperlink" Target="https://www.google.com/maps?q=18.4941754,-69.7468016" TargetMode="External"/><Relationship Id="rId17" Type="http://schemas.openxmlformats.org/officeDocument/2006/relationships/hyperlink" Target="https://www.google.com/maps?q=18.4988714,-69.7476274" TargetMode="External"/><Relationship Id="rId18" Type="http://schemas.openxmlformats.org/officeDocument/2006/relationships/hyperlink" Target="https://www.google.com/maps?q=18.4998089,-69.7446905" TargetMode="External"/><Relationship Id="rId19" Type="http://schemas.openxmlformats.org/officeDocument/2006/relationships/hyperlink" Target="https://www.google.com/maps?q=18.4997638,-69.744606" TargetMode="External"/><Relationship Id="rId20" Type="http://schemas.openxmlformats.org/officeDocument/2006/relationships/hyperlink" Target="https://www.google.com/maps?q=18.507607,-69.7489343" TargetMode="External"/><Relationship Id="rId21" Type="http://schemas.openxmlformats.org/officeDocument/2006/relationships/hyperlink" Target="https://www.google.com/maps?q=18.5076808,-69.7530729" TargetMode="External"/><Relationship Id="rId22" Type="http://schemas.openxmlformats.org/officeDocument/2006/relationships/hyperlink" Target="https://www.google.com/maps?q=18.5066199,-69.7514265" TargetMode="External"/><Relationship Id="rId2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6" min="5" style="0" width="15"/>
    <col collapsed="false" customWidth="true" hidden="false" outlineLevel="0" max="7" min="7" style="0" width="52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26"/>
    <col collapsed="false" customWidth="true" hidden="false" outlineLevel="0" max="13" min="12" style="0" width="12"/>
    <col collapsed="false" customWidth="true" hidden="false" outlineLevel="0" max="14" min="14" style="0" width="34"/>
    <col collapsed="false" customWidth="true" hidden="false" outlineLevel="0" max="15" min="15" style="0" width="13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15" hidden="false" customHeight="false" outlineLevel="0" collapsed="false">
      <c r="A4" s="5" t="s">
        <v>2</v>
      </c>
      <c r="G4" s="6" t="str">
        <f aca="false">COUNTA(K6:K27)&amp;" de "&amp;COUNTA(A6:A27)&amp;" respondidos"</f>
        <v>0 de 22 respondidos</v>
      </c>
    </row>
    <row r="5" customFormat="false" ht="33.75" hidden="false" customHeight="true" outlineLevel="0" collapsed="false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</row>
    <row r="6" customFormat="false" ht="42" hidden="false" customHeight="true" outlineLevel="0" collapsed="false">
      <c r="A6" s="9" t="s">
        <v>18</v>
      </c>
      <c r="B6" s="9" t="n">
        <v>13</v>
      </c>
      <c r="C6" s="9" t="n">
        <v>463</v>
      </c>
      <c r="D6" s="10" t="s">
        <v>19</v>
      </c>
      <c r="E6" s="9" t="s">
        <v>20</v>
      </c>
      <c r="F6" s="9" t="s">
        <v>21</v>
      </c>
      <c r="G6" s="10" t="s">
        <v>22</v>
      </c>
      <c r="H6" s="11" t="n">
        <v>421563.581</v>
      </c>
      <c r="I6" s="11" t="n">
        <v>2044646.044</v>
      </c>
      <c r="J6" s="12" t="s">
        <v>23</v>
      </c>
      <c r="K6" s="13"/>
      <c r="L6" s="14"/>
      <c r="M6" s="14"/>
      <c r="N6" s="15"/>
      <c r="O6" s="16"/>
    </row>
    <row r="7" customFormat="false" ht="42" hidden="false" customHeight="true" outlineLevel="0" collapsed="false">
      <c r="A7" s="9" t="s">
        <v>24</v>
      </c>
      <c r="B7" s="9" t="n">
        <v>22</v>
      </c>
      <c r="C7" s="9" t="n">
        <v>454</v>
      </c>
      <c r="D7" s="10" t="s">
        <v>19</v>
      </c>
      <c r="E7" s="9" t="s">
        <v>20</v>
      </c>
      <c r="F7" s="9" t="s">
        <v>25</v>
      </c>
      <c r="G7" s="10" t="s">
        <v>26</v>
      </c>
      <c r="H7" s="11" t="n">
        <v>421901.645</v>
      </c>
      <c r="I7" s="11" t="n">
        <v>2046028.674</v>
      </c>
      <c r="J7" s="12" t="s">
        <v>23</v>
      </c>
      <c r="K7" s="13"/>
      <c r="L7" s="14"/>
      <c r="M7" s="14"/>
      <c r="N7" s="15"/>
      <c r="O7" s="16"/>
    </row>
    <row r="8" customFormat="false" ht="42" hidden="false" customHeight="true" outlineLevel="0" collapsed="false">
      <c r="A8" s="9" t="s">
        <v>27</v>
      </c>
      <c r="B8" s="9" t="n">
        <v>31</v>
      </c>
      <c r="C8" s="9" t="n">
        <v>445</v>
      </c>
      <c r="D8" s="10" t="s">
        <v>19</v>
      </c>
      <c r="E8" s="9" t="s">
        <v>20</v>
      </c>
      <c r="F8" s="9" t="s">
        <v>28</v>
      </c>
      <c r="G8" s="10" t="s">
        <v>29</v>
      </c>
      <c r="H8" s="11" t="n">
        <v>421483.389</v>
      </c>
      <c r="I8" s="11" t="n">
        <v>2047133.269</v>
      </c>
      <c r="J8" s="12" t="s">
        <v>23</v>
      </c>
      <c r="K8" s="13"/>
      <c r="L8" s="14"/>
      <c r="M8" s="14"/>
      <c r="N8" s="15"/>
      <c r="O8" s="16"/>
    </row>
    <row r="9" customFormat="false" ht="42" hidden="false" customHeight="true" outlineLevel="0" collapsed="false">
      <c r="A9" s="9" t="s">
        <v>30</v>
      </c>
      <c r="B9" s="9" t="n">
        <v>32</v>
      </c>
      <c r="C9" s="9" t="n">
        <v>444</v>
      </c>
      <c r="D9" s="10" t="s">
        <v>19</v>
      </c>
      <c r="E9" s="9" t="s">
        <v>20</v>
      </c>
      <c r="F9" s="9" t="s">
        <v>28</v>
      </c>
      <c r="G9" s="10" t="s">
        <v>31</v>
      </c>
      <c r="H9" s="11" t="n">
        <v>421483.389</v>
      </c>
      <c r="I9" s="11" t="n">
        <v>2047133.27</v>
      </c>
      <c r="J9" s="12" t="s">
        <v>23</v>
      </c>
      <c r="K9" s="13"/>
      <c r="L9" s="14"/>
      <c r="M9" s="14"/>
      <c r="N9" s="15"/>
      <c r="O9" s="16"/>
    </row>
    <row r="10" customFormat="false" ht="42" hidden="false" customHeight="true" outlineLevel="0" collapsed="false">
      <c r="A10" s="9" t="s">
        <v>32</v>
      </c>
      <c r="B10" s="9" t="n">
        <v>55</v>
      </c>
      <c r="C10" s="9" t="n">
        <v>421</v>
      </c>
      <c r="D10" s="10" t="s">
        <v>19</v>
      </c>
      <c r="E10" s="9" t="s">
        <v>20</v>
      </c>
      <c r="F10" s="9" t="s">
        <v>21</v>
      </c>
      <c r="G10" s="10" t="s">
        <v>33</v>
      </c>
      <c r="H10" s="11" t="n">
        <v>421552.078</v>
      </c>
      <c r="I10" s="11" t="n">
        <v>2044645.264</v>
      </c>
      <c r="J10" s="12" t="s">
        <v>23</v>
      </c>
      <c r="K10" s="13"/>
      <c r="L10" s="14"/>
      <c r="M10" s="14"/>
      <c r="N10" s="15"/>
      <c r="O10" s="16"/>
    </row>
    <row r="11" customFormat="false" ht="42" hidden="false" customHeight="true" outlineLevel="0" collapsed="false">
      <c r="A11" s="9" t="s">
        <v>34</v>
      </c>
      <c r="B11" s="9" t="n">
        <v>70</v>
      </c>
      <c r="C11" s="9" t="n">
        <v>406</v>
      </c>
      <c r="D11" s="10" t="s">
        <v>35</v>
      </c>
      <c r="E11" s="9" t="s">
        <v>36</v>
      </c>
      <c r="F11" s="9" t="s">
        <v>28</v>
      </c>
      <c r="G11" s="10" t="s">
        <v>37</v>
      </c>
      <c r="H11" s="11" t="n">
        <v>421281.865</v>
      </c>
      <c r="I11" s="11" t="n">
        <v>2044194.484</v>
      </c>
      <c r="J11" s="12" t="s">
        <v>23</v>
      </c>
      <c r="K11" s="13"/>
      <c r="L11" s="14"/>
      <c r="M11" s="14"/>
      <c r="N11" s="15"/>
      <c r="O11" s="16"/>
    </row>
    <row r="12" customFormat="false" ht="42" hidden="false" customHeight="true" outlineLevel="0" collapsed="false">
      <c r="A12" s="9" t="s">
        <v>38</v>
      </c>
      <c r="B12" s="9" t="n">
        <v>175</v>
      </c>
      <c r="C12" s="9" t="n">
        <v>301</v>
      </c>
      <c r="D12" s="10" t="s">
        <v>39</v>
      </c>
      <c r="E12" s="9" t="s">
        <v>20</v>
      </c>
      <c r="F12" s="9" t="s">
        <v>21</v>
      </c>
      <c r="G12" s="10" t="s">
        <v>22</v>
      </c>
      <c r="H12" s="11" t="n">
        <v>420741.373</v>
      </c>
      <c r="I12" s="11" t="n">
        <v>2044591.235</v>
      </c>
      <c r="J12" s="12" t="s">
        <v>23</v>
      </c>
      <c r="K12" s="13"/>
      <c r="L12" s="14"/>
      <c r="M12" s="14"/>
      <c r="N12" s="15"/>
      <c r="O12" s="16"/>
    </row>
    <row r="13" customFormat="false" ht="42" hidden="false" customHeight="true" outlineLevel="0" collapsed="false">
      <c r="A13" s="9" t="s">
        <v>40</v>
      </c>
      <c r="B13" s="9" t="n">
        <v>194</v>
      </c>
      <c r="C13" s="9" t="n">
        <v>282</v>
      </c>
      <c r="D13" s="10" t="s">
        <v>41</v>
      </c>
      <c r="E13" s="9" t="s">
        <v>36</v>
      </c>
      <c r="F13" s="9" t="s">
        <v>28</v>
      </c>
      <c r="G13" s="10" t="s">
        <v>37</v>
      </c>
      <c r="H13" s="11" t="n">
        <v>420822.282</v>
      </c>
      <c r="I13" s="11" t="n">
        <v>2044150.295</v>
      </c>
      <c r="J13" s="12" t="s">
        <v>23</v>
      </c>
      <c r="K13" s="13"/>
      <c r="L13" s="14"/>
      <c r="M13" s="14"/>
      <c r="N13" s="15"/>
      <c r="O13" s="16"/>
    </row>
    <row r="14" customFormat="false" ht="42" hidden="false" customHeight="true" outlineLevel="0" collapsed="false">
      <c r="A14" s="9" t="s">
        <v>42</v>
      </c>
      <c r="B14" s="9" t="n">
        <v>195</v>
      </c>
      <c r="C14" s="9" t="n">
        <v>281</v>
      </c>
      <c r="D14" s="10" t="s">
        <v>41</v>
      </c>
      <c r="E14" s="9" t="s">
        <v>36</v>
      </c>
      <c r="F14" s="9" t="s">
        <v>28</v>
      </c>
      <c r="G14" s="10" t="s">
        <v>37</v>
      </c>
      <c r="H14" s="11" t="n">
        <v>420822.036</v>
      </c>
      <c r="I14" s="11" t="n">
        <v>2044160.24</v>
      </c>
      <c r="J14" s="12" t="s">
        <v>23</v>
      </c>
      <c r="K14" s="13"/>
      <c r="L14" s="14"/>
      <c r="M14" s="14"/>
      <c r="N14" s="15"/>
      <c r="O14" s="16"/>
    </row>
    <row r="15" customFormat="false" ht="42" hidden="false" customHeight="true" outlineLevel="0" collapsed="false">
      <c r="A15" s="9" t="s">
        <v>43</v>
      </c>
      <c r="B15" s="9" t="n">
        <v>214</v>
      </c>
      <c r="C15" s="9" t="n">
        <v>261</v>
      </c>
      <c r="D15" s="10" t="s">
        <v>44</v>
      </c>
      <c r="E15" s="9" t="s">
        <v>36</v>
      </c>
      <c r="F15" s="9" t="s">
        <v>28</v>
      </c>
      <c r="G15" s="10" t="s">
        <v>37</v>
      </c>
      <c r="H15" s="11" t="n">
        <v>420586.06</v>
      </c>
      <c r="I15" s="11" t="n">
        <v>2044373.325</v>
      </c>
      <c r="J15" s="12" t="s">
        <v>23</v>
      </c>
      <c r="K15" s="13"/>
      <c r="L15" s="14"/>
      <c r="M15" s="14"/>
      <c r="N15" s="15"/>
      <c r="O15" s="16"/>
    </row>
    <row r="16" customFormat="false" ht="42" hidden="false" customHeight="true" outlineLevel="0" collapsed="false">
      <c r="A16" s="9" t="s">
        <v>45</v>
      </c>
      <c r="B16" s="9" t="n">
        <v>220</v>
      </c>
      <c r="C16" s="9" t="n">
        <v>255</v>
      </c>
      <c r="D16" s="10" t="s">
        <v>44</v>
      </c>
      <c r="E16" s="9" t="s">
        <v>46</v>
      </c>
      <c r="F16" s="9" t="s">
        <v>28</v>
      </c>
      <c r="G16" s="10" t="s">
        <v>37</v>
      </c>
      <c r="H16" s="11" t="n">
        <v>420584.494</v>
      </c>
      <c r="I16" s="11" t="n">
        <v>2044399.677</v>
      </c>
      <c r="J16" s="12" t="s">
        <v>23</v>
      </c>
      <c r="K16" s="13"/>
      <c r="L16" s="14"/>
      <c r="M16" s="14"/>
      <c r="N16" s="15"/>
      <c r="O16" s="16"/>
    </row>
    <row r="17" customFormat="false" ht="42" hidden="false" customHeight="true" outlineLevel="0" collapsed="false">
      <c r="A17" s="9" t="s">
        <v>47</v>
      </c>
      <c r="B17" s="9" t="n">
        <v>242</v>
      </c>
      <c r="C17" s="9" t="n">
        <v>233</v>
      </c>
      <c r="D17" s="10" t="s">
        <v>39</v>
      </c>
      <c r="E17" s="9" t="s">
        <v>20</v>
      </c>
      <c r="F17" s="9" t="s">
        <v>28</v>
      </c>
      <c r="G17" s="10" t="s">
        <v>48</v>
      </c>
      <c r="H17" s="11" t="n">
        <v>420762.196</v>
      </c>
      <c r="I17" s="11" t="n">
        <v>2045251.065</v>
      </c>
      <c r="J17" s="12" t="s">
        <v>23</v>
      </c>
      <c r="K17" s="13"/>
      <c r="L17" s="14"/>
      <c r="M17" s="14"/>
      <c r="N17" s="15"/>
      <c r="O17" s="16"/>
    </row>
    <row r="18" customFormat="false" ht="42" hidden="false" customHeight="true" outlineLevel="0" collapsed="false">
      <c r="A18" s="9" t="s">
        <v>49</v>
      </c>
      <c r="B18" s="9" t="n">
        <v>243</v>
      </c>
      <c r="C18" s="9" t="n">
        <v>232</v>
      </c>
      <c r="D18" s="10" t="s">
        <v>39</v>
      </c>
      <c r="E18" s="9" t="s">
        <v>20</v>
      </c>
      <c r="F18" s="9" t="s">
        <v>28</v>
      </c>
      <c r="G18" s="10" t="s">
        <v>50</v>
      </c>
      <c r="H18" s="11" t="n">
        <v>420762.198</v>
      </c>
      <c r="I18" s="11" t="n">
        <v>2045251.051</v>
      </c>
      <c r="J18" s="12" t="s">
        <v>23</v>
      </c>
      <c r="K18" s="13"/>
      <c r="L18" s="14"/>
      <c r="M18" s="14"/>
      <c r="N18" s="15"/>
      <c r="O18" s="16"/>
    </row>
    <row r="19" customFormat="false" ht="42" hidden="false" customHeight="true" outlineLevel="0" collapsed="false">
      <c r="A19" s="9" t="s">
        <v>51</v>
      </c>
      <c r="B19" s="9" t="n">
        <v>251</v>
      </c>
      <c r="C19" s="9" t="n">
        <v>224</v>
      </c>
      <c r="D19" s="10" t="s">
        <v>39</v>
      </c>
      <c r="E19" s="9" t="s">
        <v>36</v>
      </c>
      <c r="F19" s="9" t="s">
        <v>21</v>
      </c>
      <c r="G19" s="10" t="s">
        <v>52</v>
      </c>
      <c r="H19" s="11" t="n">
        <v>420743.364</v>
      </c>
      <c r="I19" s="11" t="n">
        <v>2045552.723</v>
      </c>
      <c r="J19" s="12" t="s">
        <v>23</v>
      </c>
      <c r="K19" s="13"/>
      <c r="L19" s="14"/>
      <c r="M19" s="14"/>
      <c r="N19" s="15"/>
      <c r="O19" s="16"/>
    </row>
    <row r="20" customFormat="false" ht="42" hidden="false" customHeight="true" outlineLevel="0" collapsed="false">
      <c r="A20" s="9" t="s">
        <v>53</v>
      </c>
      <c r="B20" s="9" t="n">
        <v>279</v>
      </c>
      <c r="C20" s="9" t="n">
        <v>196</v>
      </c>
      <c r="D20" s="10" t="s">
        <v>54</v>
      </c>
      <c r="E20" s="9" t="s">
        <v>20</v>
      </c>
      <c r="F20" s="9" t="s">
        <v>25</v>
      </c>
      <c r="G20" s="10" t="s">
        <v>26</v>
      </c>
      <c r="H20" s="11" t="n">
        <v>421043.568</v>
      </c>
      <c r="I20" s="11" t="n">
        <v>2045090.71</v>
      </c>
      <c r="J20" s="12" t="s">
        <v>23</v>
      </c>
      <c r="K20" s="13"/>
      <c r="L20" s="14"/>
      <c r="M20" s="14"/>
      <c r="N20" s="15"/>
      <c r="O20" s="16"/>
    </row>
    <row r="21" customFormat="false" ht="42" hidden="false" customHeight="true" outlineLevel="0" collapsed="false">
      <c r="A21" s="9" t="s">
        <v>55</v>
      </c>
      <c r="B21" s="9" t="n">
        <v>280</v>
      </c>
      <c r="C21" s="9" t="n">
        <v>195</v>
      </c>
      <c r="D21" s="10" t="s">
        <v>56</v>
      </c>
      <c r="E21" s="9" t="s">
        <v>20</v>
      </c>
      <c r="F21" s="9" t="s">
        <v>21</v>
      </c>
      <c r="G21" s="10" t="s">
        <v>57</v>
      </c>
      <c r="H21" s="11" t="n">
        <v>421162.971</v>
      </c>
      <c r="I21" s="11" t="n">
        <v>2045023.573</v>
      </c>
      <c r="J21" s="12" t="s">
        <v>23</v>
      </c>
      <c r="K21" s="13"/>
      <c r="L21" s="14"/>
      <c r="M21" s="14"/>
      <c r="N21" s="15"/>
      <c r="O21" s="16"/>
    </row>
    <row r="22" customFormat="false" ht="42" hidden="false" customHeight="true" outlineLevel="0" collapsed="false">
      <c r="A22" s="9" t="s">
        <v>58</v>
      </c>
      <c r="B22" s="9" t="n">
        <v>314</v>
      </c>
      <c r="C22" s="9" t="n">
        <v>161</v>
      </c>
      <c r="D22" s="10" t="s">
        <v>59</v>
      </c>
      <c r="E22" s="9" t="s">
        <v>20</v>
      </c>
      <c r="F22" s="9" t="s">
        <v>21</v>
      </c>
      <c r="G22" s="10" t="s">
        <v>60</v>
      </c>
      <c r="H22" s="11" t="n">
        <v>421077.939</v>
      </c>
      <c r="I22" s="11" t="n">
        <v>2045543.549</v>
      </c>
      <c r="J22" s="12" t="s">
        <v>23</v>
      </c>
      <c r="K22" s="13"/>
      <c r="L22" s="14"/>
      <c r="M22" s="14"/>
      <c r="N22" s="15"/>
      <c r="O22" s="16"/>
    </row>
    <row r="23" customFormat="false" ht="42" hidden="false" customHeight="true" outlineLevel="0" collapsed="false">
      <c r="A23" s="9" t="s">
        <v>61</v>
      </c>
      <c r="B23" s="9" t="n">
        <v>369</v>
      </c>
      <c r="C23" s="9" t="n">
        <v>106</v>
      </c>
      <c r="D23" s="10" t="s">
        <v>56</v>
      </c>
      <c r="E23" s="9" t="s">
        <v>36</v>
      </c>
      <c r="F23" s="9" t="s">
        <v>21</v>
      </c>
      <c r="G23" s="10" t="s">
        <v>62</v>
      </c>
      <c r="H23" s="11" t="n">
        <v>421388.408</v>
      </c>
      <c r="I23" s="11" t="n">
        <v>2045645.995</v>
      </c>
      <c r="J23" s="12" t="s">
        <v>23</v>
      </c>
      <c r="K23" s="13"/>
      <c r="L23" s="14"/>
      <c r="M23" s="14"/>
      <c r="N23" s="15"/>
      <c r="O23" s="16"/>
    </row>
    <row r="24" customFormat="false" ht="42" hidden="false" customHeight="true" outlineLevel="0" collapsed="false">
      <c r="A24" s="9" t="s">
        <v>63</v>
      </c>
      <c r="B24" s="9" t="n">
        <v>370</v>
      </c>
      <c r="C24" s="9" t="n">
        <v>105</v>
      </c>
      <c r="D24" s="10" t="s">
        <v>56</v>
      </c>
      <c r="E24" s="9" t="s">
        <v>36</v>
      </c>
      <c r="F24" s="9" t="s">
        <v>21</v>
      </c>
      <c r="G24" s="10" t="s">
        <v>64</v>
      </c>
      <c r="H24" s="11" t="n">
        <v>421397.309</v>
      </c>
      <c r="I24" s="11" t="n">
        <v>2045640.971</v>
      </c>
      <c r="J24" s="12" t="s">
        <v>23</v>
      </c>
      <c r="K24" s="13"/>
      <c r="L24" s="14"/>
      <c r="M24" s="14"/>
      <c r="N24" s="15"/>
      <c r="O24" s="16"/>
    </row>
    <row r="25" customFormat="false" ht="42" hidden="false" customHeight="true" outlineLevel="0" collapsed="false">
      <c r="A25" s="9" t="s">
        <v>65</v>
      </c>
      <c r="B25" s="9" t="n">
        <v>431</v>
      </c>
      <c r="C25" s="9" t="n">
        <v>44</v>
      </c>
      <c r="D25" s="10" t="s">
        <v>66</v>
      </c>
      <c r="E25" s="9" t="s">
        <v>36</v>
      </c>
      <c r="F25" s="9" t="s">
        <v>28</v>
      </c>
      <c r="G25" s="10" t="s">
        <v>37</v>
      </c>
      <c r="H25" s="11" t="n">
        <v>420943.982</v>
      </c>
      <c r="I25" s="11" t="n">
        <v>2046510.711</v>
      </c>
      <c r="J25" s="12" t="s">
        <v>23</v>
      </c>
      <c r="K25" s="13"/>
      <c r="L25" s="14"/>
      <c r="M25" s="14"/>
      <c r="N25" s="15"/>
      <c r="O25" s="16"/>
    </row>
    <row r="26" customFormat="false" ht="42" hidden="false" customHeight="true" outlineLevel="0" collapsed="false">
      <c r="A26" s="9" t="s">
        <v>67</v>
      </c>
      <c r="B26" s="9" t="n">
        <v>445</v>
      </c>
      <c r="C26" s="9" t="n">
        <v>30</v>
      </c>
      <c r="D26" s="10" t="s">
        <v>68</v>
      </c>
      <c r="E26" s="9" t="s">
        <v>69</v>
      </c>
      <c r="F26" s="9" t="s">
        <v>21</v>
      </c>
      <c r="G26" s="10" t="s">
        <v>70</v>
      </c>
      <c r="H26" s="11" t="n">
        <v>420507.136</v>
      </c>
      <c r="I26" s="11" t="n">
        <v>2046520.689</v>
      </c>
      <c r="J26" s="12" t="s">
        <v>23</v>
      </c>
      <c r="K26" s="13"/>
      <c r="L26" s="14"/>
      <c r="M26" s="14"/>
      <c r="N26" s="15"/>
      <c r="O26" s="16"/>
    </row>
    <row r="27" customFormat="false" ht="42" hidden="false" customHeight="true" outlineLevel="0" collapsed="false">
      <c r="A27" s="9" t="s">
        <v>71</v>
      </c>
      <c r="B27" s="9" t="n">
        <v>460</v>
      </c>
      <c r="C27" s="9" t="n">
        <v>14</v>
      </c>
      <c r="D27" s="10" t="s">
        <v>72</v>
      </c>
      <c r="E27" s="9" t="s">
        <v>73</v>
      </c>
      <c r="F27" s="9" t="s">
        <v>28</v>
      </c>
      <c r="G27" s="10" t="s">
        <v>74</v>
      </c>
      <c r="H27" s="11" t="n">
        <v>420680.44</v>
      </c>
      <c r="I27" s="11" t="n">
        <v>2046402.58</v>
      </c>
      <c r="J27" s="12" t="s">
        <v>23</v>
      </c>
      <c r="K27" s="13"/>
      <c r="L27" s="14"/>
      <c r="M27" s="14"/>
      <c r="N27" s="15"/>
      <c r="O27" s="16"/>
    </row>
  </sheetData>
  <sheetProtection sheet="true" formatColumns="false" formatRows="false" sort="false" autoFilter="false"/>
  <autoFilter ref="A5:O27"/>
  <conditionalFormatting sqref="A6:J27">
    <cfRule type="expression" priority="2" aboveAverage="0" equalAverage="0" bottom="0" percent="0" rank="0" text="" dxfId="7">
      <formula>$K6&lt;&gt;""</formula>
    </cfRule>
  </conditionalFormatting>
  <conditionalFormatting sqref="L6:M27">
    <cfRule type="expression" priority="3" aboveAverage="0" equalAverage="0" bottom="0" percent="0" rank="0" text="" dxfId="8">
      <formula>AND($K6="Corregir coordenada",L6="")</formula>
    </cfRule>
  </conditionalFormatting>
  <dataValidations count="3">
    <dataValidation allowBlank="true" error="Elija una respuesta de la lista." errorStyle="stop" errorTitle="Respuesta no válida" operator="between" showDropDown="false" showErrorMessage="true" showInputMessage="false" sqref="K6:K27" type="list">
      <formula1>lst_respuesta</formula1>
      <formula2>0</formula2>
    </dataValidation>
    <dataValidation allowBlank="true" error="Escriba la coordenada UTM en metros." errorStyle="stop" operator="greaterThan" showDropDown="false" showErrorMessage="true" showInputMessage="false" sqref="L6:M27" type="decimal">
      <formula1>0</formula1>
      <formula2>0</formula2>
    </dataValidation>
    <dataValidation allowBlank="true" errorStyle="stop" operator="greaterThan" showDropDown="false" showErrorMessage="false" showInputMessage="false" sqref="O6:O27" type="date">
      <formula1>1</formula1>
      <formula2>0</formula2>
    </dataValidation>
  </dataValidations>
  <hyperlinks>
    <hyperlink ref="J6" r:id="rId1" display="Ver ↗"/>
    <hyperlink ref="J7" r:id="rId2" display="Ver ↗"/>
    <hyperlink ref="J8" r:id="rId3" display="Ver ↗"/>
    <hyperlink ref="J9" r:id="rId4" display="Ver ↗"/>
    <hyperlink ref="J10" r:id="rId5" display="Ver ↗"/>
    <hyperlink ref="J11" r:id="rId6" display="Ver ↗"/>
    <hyperlink ref="J12" r:id="rId7" display="Ver ↗"/>
    <hyperlink ref="J13" r:id="rId8" display="Ver ↗"/>
    <hyperlink ref="J14" r:id="rId9" display="Ver ↗"/>
    <hyperlink ref="J15" r:id="rId10" display="Ver ↗"/>
    <hyperlink ref="J16" r:id="rId11" display="Ver ↗"/>
    <hyperlink ref="J17" r:id="rId12" display="Ver ↗"/>
    <hyperlink ref="J18" r:id="rId13" display="Ver ↗"/>
    <hyperlink ref="J19" r:id="rId14" display="Ver ↗"/>
    <hyperlink ref="J20" r:id="rId15" display="Ver ↗"/>
    <hyperlink ref="J21" r:id="rId16" display="Ver ↗"/>
    <hyperlink ref="J22" r:id="rId17" display="Ver ↗"/>
    <hyperlink ref="J23" r:id="rId18" display="Ver ↗"/>
    <hyperlink ref="J24" r:id="rId19" display="Ver ↗"/>
    <hyperlink ref="J25" r:id="rId20" display="Ver ↗"/>
    <hyperlink ref="J26" r:id="rId21" display="Ver ↗"/>
    <hyperlink ref="J27" r:id="rId22" display="Ver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75</v>
      </c>
    </row>
    <row r="2" customFormat="false" ht="15" hidden="false" customHeight="false" outlineLevel="0" collapsed="false">
      <c r="A2" s="0" t="s">
        <v>76</v>
      </c>
    </row>
    <row r="3" customFormat="false" ht="15" hidden="false" customHeight="false" outlineLevel="0" collapsed="false">
      <c r="A3" s="0" t="s">
        <v>77</v>
      </c>
    </row>
    <row r="4" customFormat="false" ht="15" hidden="false" customHeight="false" outlineLevel="0" collapsed="false">
      <c r="A4" s="0" t="s">
        <v>78</v>
      </c>
    </row>
    <row r="5" customFormat="false" ht="15" hidden="false" customHeight="false" outlineLevel="0" collapsed="false">
      <c r="A5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2026-10-28T19:06:32Z</dcterms:created>
  <dc:creator>openpyxl</dc:creator>
  <dc:description/>
  <dc:language>en-US</dc:language>
  <cp:lastModifiedBy/>
  <dcterms:modified xsi:type="dcterms:W3CDTF">2026-10-28T19:06:32Z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